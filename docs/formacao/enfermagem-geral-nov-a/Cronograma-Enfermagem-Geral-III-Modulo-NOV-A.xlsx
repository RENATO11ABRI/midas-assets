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onograma" sheetId="1" state="visible" r:id="rId1"/>
    <sheet xmlns:r="http://schemas.openxmlformats.org/officeDocument/2006/relationships" name="Verificação" sheetId="2" state="visible" r:id="rId2"/>
    <sheet xmlns:r="http://schemas.openxmlformats.org/officeDocument/2006/relationships" name="Seminários" sheetId="3" state="visible" r:id="rId3"/>
    <sheet xmlns:r="http://schemas.openxmlformats.org/officeDocument/2006/relationships" name="Sábados" sheetId="4" state="visible" r:id="rId4"/>
    <sheet xmlns:r="http://schemas.openxmlformats.org/officeDocument/2006/relationships" name="Estágios e defesa" sheetId="5" state="visible" r:id="rId5"/>
    <sheet xmlns:r="http://schemas.openxmlformats.org/officeDocument/2006/relationships" name="Financeiro" sheetId="6" state="visible" r:id="rId6"/>
  </sheets>
  <definedNames>
    <definedName name="_xlnm._FilterDatabase" localSheetId="0" hidden="1">'Cronograma'!$A$2:$L$250</definedName>
    <definedName name="_xlnm._FilterDatabase" localSheetId="3" hidden="1">'Sábados'!$A$2:$J$98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0">
    <font>
      <name val="Calibri"/>
      <family val="2"/>
      <color theme="1"/>
      <sz val="11"/>
      <scheme val="minor"/>
    </font>
    <font>
      <name val="Cambria"/>
      <b val="1"/>
      <color rgb="FF0F3A63"/>
      <sz val="13"/>
    </font>
    <font>
      <name val="Calibri"/>
      <b val="1"/>
      <color rgb="FFFFFFFF"/>
      <sz val="10"/>
    </font>
    <font>
      <name val="Calibri"/>
      <sz val="9.5"/>
    </font>
    <font>
      <name val="Calibri"/>
      <b val="1"/>
      <sz val="9.5"/>
    </font>
    <font>
      <name val="Cambria"/>
      <b val="1"/>
      <color rgb="FFFFFFFF"/>
      <sz val="12"/>
    </font>
    <font>
      <name val="Calibri"/>
      <b val="1"/>
      <sz val="10"/>
    </font>
    <font>
      <name val="Calibri"/>
      <sz val="10"/>
    </font>
    <font>
      <b val="1"/>
    </font>
    <font>
      <name val="Cambria"/>
      <b val="1"/>
      <color rgb="FFFFFFFF"/>
      <sz val="11"/>
    </font>
  </fonts>
  <fills count="14">
    <fill>
      <patternFill/>
    </fill>
    <fill>
      <patternFill patternType="gray125"/>
    </fill>
    <fill>
      <patternFill patternType="solid">
        <fgColor rgb="FF0F3A63"/>
      </patternFill>
    </fill>
    <fill>
      <patternFill patternType="solid">
        <fgColor rgb="FFDCE9F5"/>
      </patternFill>
    </fill>
    <fill>
      <patternFill patternType="solid">
        <fgColor rgb="FFF5F5F5"/>
      </patternFill>
    </fill>
    <fill>
      <patternFill patternType="solid">
        <fgColor rgb="FFF7E0DA"/>
      </patternFill>
    </fill>
    <fill>
      <patternFill patternType="solid">
        <fgColor rgb="FFEEDFF2"/>
      </patternFill>
    </fill>
    <fill>
      <patternFill patternType="solid">
        <fgColor rgb="FFDFF0E2"/>
      </patternFill>
    </fill>
    <fill>
      <patternFill patternType="solid">
        <fgColor rgb="FFFFF0CC"/>
      </patternFill>
    </fill>
    <fill>
      <patternFill patternType="solid">
        <fgColor rgb="FF1B4E7F"/>
      </patternFill>
    </fill>
    <fill>
      <patternFill patternType="solid">
        <fgColor rgb="FFEEF3F7"/>
      </patternFill>
    </fill>
    <fill>
      <patternFill patternType="solid">
        <fgColor rgb="FFFFFFFF"/>
      </patternFill>
    </fill>
    <fill>
      <patternFill patternType="solid">
        <fgColor rgb="FFE4DDF4"/>
      </patternFill>
    </fill>
    <fill>
      <patternFill patternType="solid">
        <fgColor rgb="FFDDEAF4"/>
      </patternFill>
    </fill>
  </fills>
  <borders count="2">
    <border>
      <left/>
      <right/>
      <top/>
      <bottom/>
      <diagonal/>
    </border>
    <border>
      <left style="thin">
        <color rgb="FFB7C4CF"/>
      </left>
      <right style="thin">
        <color rgb="FFB7C4CF"/>
      </right>
      <top style="thin">
        <color rgb="FFB7C4CF"/>
      </top>
      <bottom style="thin">
        <color rgb="FFB7C4CF"/>
      </bottom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vertical="center" wrapText="1"/>
    </xf>
    <xf numFmtId="0" fontId="3" fillId="3" borderId="1" applyAlignment="1" pivotButton="0" quotePrefix="0" xfId="0">
      <alignment horizontal="center" vertical="top"/>
    </xf>
    <xf numFmtId="0" fontId="3" fillId="3" borderId="1" applyAlignment="1" pivotButton="0" quotePrefix="0" xfId="0">
      <alignment horizontal="left" vertical="top"/>
    </xf>
    <xf numFmtId="0" fontId="4" fillId="3" borderId="1" applyAlignment="1" pivotButton="0" quotePrefix="0" xfId="0">
      <alignment horizontal="left" vertical="top"/>
    </xf>
    <xf numFmtId="0" fontId="3" fillId="3" borderId="1" applyAlignment="1" pivotButton="0" quotePrefix="0" xfId="0">
      <alignment horizontal="left" vertical="top" wrapText="1"/>
    </xf>
    <xf numFmtId="0" fontId="3" fillId="4" borderId="1" applyAlignment="1" pivotButton="0" quotePrefix="0" xfId="0">
      <alignment horizontal="center" vertical="top"/>
    </xf>
    <xf numFmtId="0" fontId="3" fillId="4" borderId="1" applyAlignment="1" pivotButton="0" quotePrefix="0" xfId="0">
      <alignment horizontal="left" vertical="top"/>
    </xf>
    <xf numFmtId="0" fontId="4" fillId="4" borderId="1" applyAlignment="1" pivotButton="0" quotePrefix="0" xfId="0">
      <alignment horizontal="left" vertical="top"/>
    </xf>
    <xf numFmtId="0" fontId="3" fillId="4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center" vertical="top"/>
    </xf>
    <xf numFmtId="0" fontId="3" fillId="5" borderId="1" applyAlignment="1" pivotButton="0" quotePrefix="0" xfId="0">
      <alignment horizontal="left" vertical="top"/>
    </xf>
    <xf numFmtId="0" fontId="4" fillId="5" borderId="1" applyAlignment="1" pivotButton="0" quotePrefix="0" xfId="0">
      <alignment horizontal="left" vertical="top"/>
    </xf>
    <xf numFmtId="0" fontId="3" fillId="5" borderId="1" applyAlignment="1" pivotButton="0" quotePrefix="0" xfId="0">
      <alignment horizontal="left" vertical="top" wrapText="1"/>
    </xf>
    <xf numFmtId="0" fontId="3" fillId="6" borderId="1" applyAlignment="1" pivotButton="0" quotePrefix="0" xfId="0">
      <alignment horizontal="center" vertical="top"/>
    </xf>
    <xf numFmtId="0" fontId="3" fillId="6" borderId="1" applyAlignment="1" pivotButton="0" quotePrefix="0" xfId="0">
      <alignment horizontal="left" vertical="top"/>
    </xf>
    <xf numFmtId="0" fontId="4" fillId="6" borderId="1" applyAlignment="1" pivotButton="0" quotePrefix="0" xfId="0">
      <alignment horizontal="left" vertical="top"/>
    </xf>
    <xf numFmtId="0" fontId="3" fillId="6" borderId="1" applyAlignment="1" pivotButton="0" quotePrefix="0" xfId="0">
      <alignment horizontal="left" vertical="top" wrapText="1"/>
    </xf>
    <xf numFmtId="0" fontId="3" fillId="7" borderId="1" applyAlignment="1" pivotButton="0" quotePrefix="0" xfId="0">
      <alignment horizontal="center" vertical="top"/>
    </xf>
    <xf numFmtId="0" fontId="3" fillId="7" borderId="1" applyAlignment="1" pivotButton="0" quotePrefix="0" xfId="0">
      <alignment horizontal="left" vertical="top"/>
    </xf>
    <xf numFmtId="0" fontId="4" fillId="7" borderId="1" applyAlignment="1" pivotButton="0" quotePrefix="0" xfId="0">
      <alignment horizontal="left" vertical="top"/>
    </xf>
    <xf numFmtId="0" fontId="3" fillId="7" borderId="1" applyAlignment="1" pivotButton="0" quotePrefix="0" xfId="0">
      <alignment horizontal="left" vertical="top" wrapText="1"/>
    </xf>
    <xf numFmtId="0" fontId="3" fillId="8" borderId="1" applyAlignment="1" pivotButton="0" quotePrefix="0" xfId="0">
      <alignment horizontal="center" vertical="top"/>
    </xf>
    <xf numFmtId="0" fontId="3" fillId="8" borderId="1" applyAlignment="1" pivotButton="0" quotePrefix="0" xfId="0">
      <alignment horizontal="left" vertical="top"/>
    </xf>
    <xf numFmtId="0" fontId="4" fillId="8" borderId="1" applyAlignment="1" pivotButton="0" quotePrefix="0" xfId="0">
      <alignment horizontal="left" vertical="top"/>
    </xf>
    <xf numFmtId="0" fontId="3" fillId="8" borderId="1" applyAlignment="1" pivotButton="0" quotePrefix="0" xfId="0">
      <alignment horizontal="left" vertical="top" wrapText="1"/>
    </xf>
    <xf numFmtId="0" fontId="5" fillId="9" borderId="0" applyAlignment="1" pivotButton="0" quotePrefix="0" xfId="0">
      <alignment vertical="center"/>
    </xf>
    <xf numFmtId="0" fontId="6" fillId="10" borderId="1" pivotButton="0" quotePrefix="0" xfId="0"/>
    <xf numFmtId="0" fontId="6" fillId="0" borderId="1" pivotButton="0" quotePrefix="0" xfId="0"/>
    <xf numFmtId="1" fontId="7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5" fontId="7" fillId="0" borderId="1" applyAlignment="1" pivotButton="0" quotePrefix="0" xfId="0">
      <alignment horizontal="center"/>
    </xf>
    <xf numFmtId="9" fontId="7" fillId="0" borderId="1" applyAlignment="1" pivotButton="0" quotePrefix="0" xfId="0">
      <alignment horizontal="center"/>
    </xf>
    <xf numFmtId="0" fontId="7" fillId="0" borderId="1" pivotButton="0" quotePrefix="0" xfId="0"/>
    <xf numFmtId="1" fontId="6" fillId="10" borderId="1" applyAlignment="1" pivotButton="0" quotePrefix="0" xfId="0">
      <alignment horizontal="center"/>
    </xf>
    <xf numFmtId="164" fontId="6" fillId="10" borderId="1" applyAlignment="1" pivotButton="0" quotePrefix="0" xfId="0">
      <alignment horizontal="center"/>
    </xf>
    <xf numFmtId="165" fontId="6" fillId="10" borderId="1" applyAlignment="1" pivotButton="0" quotePrefix="0" xfId="0">
      <alignment horizontal="center"/>
    </xf>
    <xf numFmtId="0" fontId="6" fillId="7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1" fontId="6" fillId="0" borderId="1" applyAlignment="1" pivotButton="0" quotePrefix="0" xfId="0">
      <alignment horizontal="center"/>
    </xf>
    <xf numFmtId="0" fontId="7" fillId="11" borderId="1" applyAlignment="1" pivotButton="0" quotePrefix="0" xfId="0">
      <alignment horizontal="center" vertical="top"/>
    </xf>
    <xf numFmtId="0" fontId="7" fillId="11" borderId="1" applyAlignment="1" pivotButton="0" quotePrefix="0" xfId="0">
      <alignment horizontal="left" vertical="top"/>
    </xf>
    <xf numFmtId="0" fontId="7" fillId="11" borderId="1" applyAlignment="1" pivotButton="0" quotePrefix="0" xfId="0">
      <alignment horizontal="left" vertical="top" wrapText="1"/>
    </xf>
    <xf numFmtId="0" fontId="7" fillId="8" borderId="1" applyAlignment="1" pivotButton="0" quotePrefix="0" xfId="0">
      <alignment horizontal="center" vertical="top"/>
    </xf>
    <xf numFmtId="0" fontId="7" fillId="8" borderId="1" applyAlignment="1" pivotButton="0" quotePrefix="0" xfId="0">
      <alignment horizontal="left" vertical="top"/>
    </xf>
    <xf numFmtId="0" fontId="7" fillId="8" borderId="1" applyAlignment="1" pivotButton="0" quotePrefix="0" xfId="0">
      <alignment horizontal="left" vertical="top" wrapText="1"/>
    </xf>
    <xf numFmtId="0" fontId="8" fillId="0" borderId="0" pivotButton="0" quotePrefix="0" xfId="0"/>
    <xf numFmtId="0" fontId="3" fillId="12" borderId="1" applyAlignment="1" pivotButton="0" quotePrefix="0" xfId="0">
      <alignment horizontal="center" vertical="top"/>
    </xf>
    <xf numFmtId="0" fontId="3" fillId="12" borderId="1" applyAlignment="1" pivotButton="0" quotePrefix="0" xfId="0">
      <alignment horizontal="left" vertical="top"/>
    </xf>
    <xf numFmtId="0" fontId="4" fillId="12" borderId="1" applyAlignment="1" pivotButton="0" quotePrefix="0" xfId="0">
      <alignment horizontal="left" vertical="top"/>
    </xf>
    <xf numFmtId="0" fontId="3" fillId="12" borderId="1" applyAlignment="1" pivotButton="0" quotePrefix="0" xfId="0">
      <alignment horizontal="left" vertical="top" wrapText="1"/>
    </xf>
    <xf numFmtId="0" fontId="3" fillId="13" borderId="1" applyAlignment="1" pivotButton="0" quotePrefix="0" xfId="0">
      <alignment horizontal="center" vertical="top"/>
    </xf>
    <xf numFmtId="0" fontId="3" fillId="13" borderId="1" applyAlignment="1" pivotButton="0" quotePrefix="0" xfId="0">
      <alignment horizontal="left" vertical="top"/>
    </xf>
    <xf numFmtId="0" fontId="4" fillId="13" borderId="1" applyAlignment="1" pivotButton="0" quotePrefix="0" xfId="0">
      <alignment horizontal="left" vertical="top"/>
    </xf>
    <xf numFmtId="0" fontId="3" fillId="13" borderId="1" applyAlignment="1" pivotButton="0" quotePrefix="0" xfId="0">
      <alignment horizontal="left" vertical="top" wrapText="1"/>
    </xf>
    <xf numFmtId="164" fontId="0" fillId="0" borderId="0" pivotButton="0" quotePrefix="0" xfId="0"/>
    <xf numFmtId="164" fontId="8" fillId="0" borderId="0" pivotButton="0" quotePrefix="0" xfId="0"/>
    <xf numFmtId="0" fontId="6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7" fillId="10" borderId="1" applyAlignment="1" pivotButton="0" quotePrefix="0" xfId="0">
      <alignment vertical="top" wrapText="1"/>
    </xf>
    <xf numFmtId="0" fontId="9" fillId="9" borderId="0" pivotButton="0" quotePrefix="0" xfId="0"/>
    <xf numFmtId="3" fontId="7" fillId="0" borderId="1" applyAlignment="1" pivotButton="0" quotePrefix="0" xfId="0">
      <alignment horizontal="right"/>
    </xf>
    <xf numFmtId="3" fontId="6" fillId="1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0"/>
  <sheetViews>
    <sheetView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11" customWidth="1" min="2" max="2"/>
    <col width="14" customWidth="1" min="3" max="3"/>
    <col width="6" customWidth="1" min="4" max="4"/>
    <col width="13" customWidth="1" min="5" max="5"/>
    <col width="20" customWidth="1" min="6" max="6"/>
    <col width="11" customWidth="1" min="7" max="7"/>
    <col width="34" customWidth="1" min="8" max="8"/>
    <col width="62" customWidth="1" min="9" max="9"/>
    <col width="24" customWidth="1" min="10" max="10"/>
    <col width="11" customWidth="1" min="11" max="11"/>
    <col width="13" customWidth="1" min="12" max="12"/>
  </cols>
  <sheetData>
    <row r="1" ht="24" customHeight="1">
      <c r="A1" s="1" t="inlineStr">
        <is>
          <t>Cronograma detalhado — Enfermagem Geral, III.º Módulo, turma MIDAS — NOV-A, Unidade do Zango, ano lectivo 2026/2027  ·  248 horas</t>
        </is>
      </c>
    </row>
    <row r="2" ht="30" customHeight="1">
      <c r="A2" s="2" t="inlineStr">
        <is>
          <t>N.º</t>
        </is>
      </c>
      <c r="B2" s="2" t="inlineStr">
        <is>
          <t>Data</t>
        </is>
      </c>
      <c r="C2" s="2" t="inlineStr">
        <is>
          <t>Dia</t>
        </is>
      </c>
      <c r="D2" s="2" t="inlineStr">
        <is>
          <t>Mês</t>
        </is>
      </c>
      <c r="E2" s="2" t="inlineStr">
        <is>
          <t>Horário</t>
        </is>
      </c>
      <c r="F2" s="2" t="inlineStr">
        <is>
          <t>Tempo lectivo</t>
        </is>
      </c>
      <c r="G2" s="2" t="inlineStr">
        <is>
          <t>Disciplina</t>
        </is>
      </c>
      <c r="H2" s="2" t="inlineStr">
        <is>
          <t>Unidade temática</t>
        </is>
      </c>
      <c r="I2" s="2" t="inlineStr">
        <is>
          <t>Tema da sessão</t>
        </is>
      </c>
      <c r="J2" s="2" t="inlineStr">
        <is>
          <t>Professor</t>
        </is>
      </c>
      <c r="K2" s="2" t="inlineStr">
        <is>
          <t>Tipo</t>
        </is>
      </c>
      <c r="L2" s="2" t="inlineStr">
        <is>
          <t>Duração (min)</t>
        </is>
      </c>
    </row>
    <row r="3">
      <c r="A3" s="3" t="n">
        <v>1</v>
      </c>
      <c r="B3" s="4" t="inlineStr">
        <is>
          <t>15/09/2026</t>
        </is>
      </c>
      <c r="C3" s="4" t="inlineStr">
        <is>
          <t>Terça-feira</t>
        </is>
      </c>
      <c r="D3" s="3" t="n">
        <v>1</v>
      </c>
      <c r="E3" s="4" t="inlineStr">
        <is>
          <t>08h00–09h30</t>
        </is>
      </c>
      <c r="F3" s="4" t="inlineStr">
        <is>
          <t>1.º tempo lectivo</t>
        </is>
      </c>
      <c r="G3" s="5" t="inlineStr">
        <is>
          <t>EMC</t>
        </is>
      </c>
      <c r="H3" s="6" t="inlineStr">
        <is>
          <t>UI — Avaliação inicial do doente adulto e registos de enfermagem</t>
        </is>
      </c>
      <c r="I3" s="6" t="inlineStr">
        <is>
          <t>Âmbito de competência do Técnico de Enfermagem no cuidado ao adulto; responsabilidade profissional e segurança do doente · Enquadramento teórico e demonstração da técnica</t>
        </is>
      </c>
      <c r="J3" s="4" t="inlineStr">
        <is>
          <t>Prof. Manuel Jorge Weber</t>
        </is>
      </c>
      <c r="K3" s="3" t="inlineStr">
        <is>
          <t>TP</t>
        </is>
      </c>
      <c r="L3" s="3" t="n">
        <v>90</v>
      </c>
    </row>
    <row r="4">
      <c r="A4" s="7" t="n">
        <v>2</v>
      </c>
      <c r="B4" s="8" t="inlineStr">
        <is>
          <t>15/09/2026</t>
        </is>
      </c>
      <c r="C4" s="8" t="inlineStr">
        <is>
          <t>Terça-feira</t>
        </is>
      </c>
      <c r="D4" s="7" t="n">
        <v>1</v>
      </c>
      <c r="E4" s="8" t="inlineStr">
        <is>
          <t>09h30–09h45</t>
        </is>
      </c>
      <c r="F4" s="8" t="inlineStr">
        <is>
          <t>Intervalo</t>
        </is>
      </c>
      <c r="G4" s="9" t="inlineStr">
        <is>
          <t>—</t>
        </is>
      </c>
      <c r="H4" s="10" t="inlineStr">
        <is>
          <t>—</t>
        </is>
      </c>
      <c r="I4" s="10" t="inlineStr">
        <is>
          <t>Intervalo regulamentar</t>
        </is>
      </c>
      <c r="J4" s="8" t="inlineStr">
        <is>
          <t>—</t>
        </is>
      </c>
      <c r="K4" s="7" t="inlineStr">
        <is>
          <t>—</t>
        </is>
      </c>
      <c r="L4" s="7" t="n">
        <v>15</v>
      </c>
    </row>
    <row r="5">
      <c r="A5" s="3" t="n">
        <v>3</v>
      </c>
      <c r="B5" s="4" t="inlineStr">
        <is>
          <t>15/09/2026</t>
        </is>
      </c>
      <c r="C5" s="4" t="inlineStr">
        <is>
          <t>Terça-feira</t>
        </is>
      </c>
      <c r="D5" s="3" t="n">
        <v>1</v>
      </c>
      <c r="E5" s="4" t="inlineStr">
        <is>
          <t>09h45–11h15</t>
        </is>
      </c>
      <c r="F5" s="4" t="inlineStr">
        <is>
          <t>2.º tempo lectivo</t>
        </is>
      </c>
      <c r="G5" s="5" t="inlineStr">
        <is>
          <t>EMC</t>
        </is>
      </c>
      <c r="H5" s="6" t="inlineStr">
        <is>
          <t>UI — Avaliação inicial do doente adulto e registos de enfermagem</t>
        </is>
      </c>
      <c r="I5" s="6" t="inlineStr">
        <is>
          <t>Âmbito de competência do Técnico de Enfermagem no cuidado ao adulto; responsabilidade profissional e segurança do doente · Treino prático supervisionado e estudo de caso</t>
        </is>
      </c>
      <c r="J5" s="4" t="inlineStr">
        <is>
          <t>Prof. Manuel Jorge Weber</t>
        </is>
      </c>
      <c r="K5" s="3" t="inlineStr">
        <is>
          <t>P</t>
        </is>
      </c>
      <c r="L5" s="3" t="n">
        <v>90</v>
      </c>
    </row>
    <row r="6">
      <c r="A6" s="11" t="n">
        <v>4</v>
      </c>
      <c r="B6" s="12" t="inlineStr">
        <is>
          <t>15/09/2026</t>
        </is>
      </c>
      <c r="C6" s="12" t="inlineStr">
        <is>
          <t>Terça-feira</t>
        </is>
      </c>
      <c r="D6" s="11" t="n">
        <v>1</v>
      </c>
      <c r="E6" s="12" t="inlineStr">
        <is>
          <t>11h15–12h15</t>
        </is>
      </c>
      <c r="F6" s="12" t="inlineStr">
        <is>
          <t>Bloco complementar</t>
        </is>
      </c>
      <c r="G6" s="13" t="inlineStr">
        <is>
          <t>UEPS</t>
        </is>
      </c>
      <c r="H6" s="14" t="inlineStr">
        <is>
          <t>UI — Organização da urgência, triagem e abordagem primária</t>
        </is>
      </c>
      <c r="I6" s="14" t="inlineStr">
        <is>
          <t>O serviço de urgência: organização, fluxos e âmbito de actuação do Técnico de Enfermagem · Exposição e discussão dirigida</t>
        </is>
      </c>
      <c r="J6" s="12" t="inlineStr">
        <is>
          <t>Prof. Manuel Jorge Weber</t>
        </is>
      </c>
      <c r="K6" s="11" t="inlineStr">
        <is>
          <t>T</t>
        </is>
      </c>
      <c r="L6" s="11" t="n">
        <v>60</v>
      </c>
    </row>
    <row r="7">
      <c r="A7" s="3" t="n">
        <v>5</v>
      </c>
      <c r="B7" s="4" t="inlineStr">
        <is>
          <t>22/09/2026</t>
        </is>
      </c>
      <c r="C7" s="4" t="inlineStr">
        <is>
          <t>Terça-feira</t>
        </is>
      </c>
      <c r="D7" s="3" t="n">
        <v>1</v>
      </c>
      <c r="E7" s="4" t="inlineStr">
        <is>
          <t>08h00–09h30</t>
        </is>
      </c>
      <c r="F7" s="4" t="inlineStr">
        <is>
          <t>1.º tempo lectivo</t>
        </is>
      </c>
      <c r="G7" s="5" t="inlineStr">
        <is>
          <t>EMC</t>
        </is>
      </c>
      <c r="H7" s="6" t="inlineStr">
        <is>
          <t>UI — Avaliação inicial do doente adulto e registos de enfermagem</t>
        </is>
      </c>
      <c r="I7" s="6" t="inlineStr">
        <is>
          <t>Avaliação inicial do doente adulto: colheita de dados, exame físico céfalo-caudal e identificação de sinais de alerta · Enquadramento teórico e demonstração da técnica</t>
        </is>
      </c>
      <c r="J7" s="4" t="inlineStr">
        <is>
          <t>Prof. Manuel Jorge Weber</t>
        </is>
      </c>
      <c r="K7" s="3" t="inlineStr">
        <is>
          <t>TP</t>
        </is>
      </c>
      <c r="L7" s="3" t="n">
        <v>90</v>
      </c>
    </row>
    <row r="8">
      <c r="A8" s="7" t="n">
        <v>6</v>
      </c>
      <c r="B8" s="8" t="inlineStr">
        <is>
          <t>22/09/2026</t>
        </is>
      </c>
      <c r="C8" s="8" t="inlineStr">
        <is>
          <t>Terça-feira</t>
        </is>
      </c>
      <c r="D8" s="7" t="n">
        <v>1</v>
      </c>
      <c r="E8" s="8" t="inlineStr">
        <is>
          <t>09h30–09h45</t>
        </is>
      </c>
      <c r="F8" s="8" t="inlineStr">
        <is>
          <t>Intervalo</t>
        </is>
      </c>
      <c r="G8" s="9" t="inlineStr">
        <is>
          <t>—</t>
        </is>
      </c>
      <c r="H8" s="10" t="inlineStr">
        <is>
          <t>—</t>
        </is>
      </c>
      <c r="I8" s="10" t="inlineStr">
        <is>
          <t>Intervalo regulamentar</t>
        </is>
      </c>
      <c r="J8" s="8" t="inlineStr">
        <is>
          <t>—</t>
        </is>
      </c>
      <c r="K8" s="7" t="inlineStr">
        <is>
          <t>—</t>
        </is>
      </c>
      <c r="L8" s="7" t="n">
        <v>15</v>
      </c>
    </row>
    <row r="9">
      <c r="A9" s="3" t="n">
        <v>7</v>
      </c>
      <c r="B9" s="4" t="inlineStr">
        <is>
          <t>22/09/2026</t>
        </is>
      </c>
      <c r="C9" s="4" t="inlineStr">
        <is>
          <t>Terça-feira</t>
        </is>
      </c>
      <c r="D9" s="3" t="n">
        <v>1</v>
      </c>
      <c r="E9" s="4" t="inlineStr">
        <is>
          <t>09h45–11h15</t>
        </is>
      </c>
      <c r="F9" s="4" t="inlineStr">
        <is>
          <t>2.º tempo lectivo</t>
        </is>
      </c>
      <c r="G9" s="5" t="inlineStr">
        <is>
          <t>EMC</t>
        </is>
      </c>
      <c r="H9" s="6" t="inlineStr">
        <is>
          <t>UI — Avaliação inicial do doente adulto e registos de enfermagem</t>
        </is>
      </c>
      <c r="I9" s="6" t="inlineStr">
        <is>
          <t>Avaliação inicial do doente adulto: colheita de dados, exame físico céfalo-caudal e identificação de sinais de alerta · Treino prático supervisionado e estudo de caso</t>
        </is>
      </c>
      <c r="J9" s="4" t="inlineStr">
        <is>
          <t>Prof. Manuel Jorge Weber</t>
        </is>
      </c>
      <c r="K9" s="3" t="inlineStr">
        <is>
          <t>P</t>
        </is>
      </c>
      <c r="L9" s="3" t="n">
        <v>90</v>
      </c>
    </row>
    <row r="10">
      <c r="A10" s="11" t="n">
        <v>8</v>
      </c>
      <c r="B10" s="12" t="inlineStr">
        <is>
          <t>22/09/2026</t>
        </is>
      </c>
      <c r="C10" s="12" t="inlineStr">
        <is>
          <t>Terça-feira</t>
        </is>
      </c>
      <c r="D10" s="11" t="n">
        <v>1</v>
      </c>
      <c r="E10" s="12" t="inlineStr">
        <is>
          <t>11h15–12h15</t>
        </is>
      </c>
      <c r="F10" s="12" t="inlineStr">
        <is>
          <t>Bloco complementar</t>
        </is>
      </c>
      <c r="G10" s="13" t="inlineStr">
        <is>
          <t>UEPS</t>
        </is>
      </c>
      <c r="H10" s="14" t="inlineStr">
        <is>
          <t>UI — Organização da urgência, triagem e abordagem primária</t>
        </is>
      </c>
      <c r="I10" s="14" t="inlineStr">
        <is>
          <t>Triagem e classificação de risco: critérios de prioridade e sinais de alarme · Exposição e discussão dirigida</t>
        </is>
      </c>
      <c r="J10" s="12" t="inlineStr">
        <is>
          <t>Prof. Manuel Jorge Weber</t>
        </is>
      </c>
      <c r="K10" s="11" t="inlineStr">
        <is>
          <t>T</t>
        </is>
      </c>
      <c r="L10" s="11" t="n">
        <v>60</v>
      </c>
    </row>
    <row r="11">
      <c r="A11" s="15" t="n">
        <v>9</v>
      </c>
      <c r="B11" s="16" t="inlineStr">
        <is>
          <t>24/09/2026</t>
        </is>
      </c>
      <c r="C11" s="16" t="inlineStr">
        <is>
          <t>Quinta-feira</t>
        </is>
      </c>
      <c r="D11" s="15" t="n">
        <v>1</v>
      </c>
      <c r="E11" s="16" t="inlineStr">
        <is>
          <t>08h00–09h30</t>
        </is>
      </c>
      <c r="F11" s="16" t="inlineStr">
        <is>
          <t>1.º tempo lectivo</t>
        </is>
      </c>
      <c r="G11" s="17" t="inlineStr">
        <is>
          <t>SMON</t>
        </is>
      </c>
      <c r="H11" s="18" t="inlineStr">
        <is>
          <t>UI — Saúde sexual e reprodutiva e planeamento familiar</t>
        </is>
      </c>
      <c r="I11" s="18" t="inlineStr">
        <is>
          <t>Saúde sexual e reprodutiva: conceitos, direitos da mulher, ética e âmbito de actuação do Técnico de Enfermagem · Enquadramento teórico e demonstração da técnica</t>
        </is>
      </c>
      <c r="J11" s="16" t="inlineStr">
        <is>
          <t>Prof. Eduardo David</t>
        </is>
      </c>
      <c r="K11" s="15" t="inlineStr">
        <is>
          <t>TP</t>
        </is>
      </c>
      <c r="L11" s="15" t="n">
        <v>90</v>
      </c>
    </row>
    <row r="12">
      <c r="A12" s="7" t="n">
        <v>10</v>
      </c>
      <c r="B12" s="8" t="inlineStr">
        <is>
          <t>24/09/2026</t>
        </is>
      </c>
      <c r="C12" s="8" t="inlineStr">
        <is>
          <t>Quinta-feira</t>
        </is>
      </c>
      <c r="D12" s="7" t="n">
        <v>1</v>
      </c>
      <c r="E12" s="8" t="inlineStr">
        <is>
          <t>09h30–09h45</t>
        </is>
      </c>
      <c r="F12" s="8" t="inlineStr">
        <is>
          <t>Intervalo</t>
        </is>
      </c>
      <c r="G12" s="9" t="inlineStr">
        <is>
          <t>—</t>
        </is>
      </c>
      <c r="H12" s="10" t="inlineStr">
        <is>
          <t>—</t>
        </is>
      </c>
      <c r="I12" s="10" t="inlineStr">
        <is>
          <t>Intervalo regulamentar</t>
        </is>
      </c>
      <c r="J12" s="8" t="inlineStr">
        <is>
          <t>—</t>
        </is>
      </c>
      <c r="K12" s="7" t="inlineStr">
        <is>
          <t>—</t>
        </is>
      </c>
      <c r="L12" s="7" t="n">
        <v>15</v>
      </c>
    </row>
    <row r="13">
      <c r="A13" s="15" t="n">
        <v>11</v>
      </c>
      <c r="B13" s="16" t="inlineStr">
        <is>
          <t>24/09/2026</t>
        </is>
      </c>
      <c r="C13" s="16" t="inlineStr">
        <is>
          <t>Quinta-feira</t>
        </is>
      </c>
      <c r="D13" s="15" t="n">
        <v>1</v>
      </c>
      <c r="E13" s="16" t="inlineStr">
        <is>
          <t>09h45–11h15</t>
        </is>
      </c>
      <c r="F13" s="16" t="inlineStr">
        <is>
          <t>2.º tempo lectivo</t>
        </is>
      </c>
      <c r="G13" s="17" t="inlineStr">
        <is>
          <t>SMON</t>
        </is>
      </c>
      <c r="H13" s="18" t="inlineStr">
        <is>
          <t>UI — Saúde sexual e reprodutiva e planeamento familiar</t>
        </is>
      </c>
      <c r="I13" s="18" t="inlineStr">
        <is>
          <t>Saúde sexual e reprodutiva: conceitos, direitos da mulher, ética e âmbito de actuação do Técnico de Enfermagem · Treino prático supervisionado e estudo de caso</t>
        </is>
      </c>
      <c r="J13" s="16" t="inlineStr">
        <is>
          <t>Prof. Eduardo David</t>
        </is>
      </c>
      <c r="K13" s="15" t="inlineStr">
        <is>
          <t>P</t>
        </is>
      </c>
      <c r="L13" s="15" t="n">
        <v>90</v>
      </c>
    </row>
    <row r="14">
      <c r="A14" s="19" t="n">
        <v>12</v>
      </c>
      <c r="B14" s="20" t="inlineStr">
        <is>
          <t>24/09/2026</t>
        </is>
      </c>
      <c r="C14" s="20" t="inlineStr">
        <is>
          <t>Quinta-feira</t>
        </is>
      </c>
      <c r="D14" s="19" t="n">
        <v>1</v>
      </c>
      <c r="E14" s="20" t="inlineStr">
        <is>
          <t>11h15–12h15</t>
        </is>
      </c>
      <c r="F14" s="20" t="inlineStr">
        <is>
          <t>Bloco complementar</t>
        </is>
      </c>
      <c r="G14" s="21" t="inlineStr">
        <is>
          <t>EPSC</t>
        </is>
      </c>
      <c r="H14" s="22" t="inlineStr">
        <is>
          <t>UI — Crescimento, desenvolvimento e avaliação da criança</t>
        </is>
      </c>
      <c r="I14" s="22" t="inlineStr">
        <is>
          <t>Princípios da enfermagem pediátrica, direitos da criança e comunicação com a criança e a família · Exposição e discussão dirigida</t>
        </is>
      </c>
      <c r="J14" s="20" t="inlineStr">
        <is>
          <t>Prof. Eduardo David</t>
        </is>
      </c>
      <c r="K14" s="19" t="inlineStr">
        <is>
          <t>T</t>
        </is>
      </c>
      <c r="L14" s="19" t="n">
        <v>60</v>
      </c>
    </row>
    <row r="15">
      <c r="A15" s="23" t="n">
        <v>13</v>
      </c>
      <c r="B15" s="24" t="inlineStr">
        <is>
          <t>29/09/2026</t>
        </is>
      </c>
      <c r="C15" s="24" t="inlineStr">
        <is>
          <t>Terça-feira</t>
        </is>
      </c>
      <c r="D15" s="23" t="n">
        <v>1</v>
      </c>
      <c r="E15" s="24" t="inlineStr">
        <is>
          <t>08h00–09h30</t>
        </is>
      </c>
      <c r="F15" s="24" t="inlineStr">
        <is>
          <t>1.º tempo</t>
        </is>
      </c>
      <c r="G15" s="25" t="inlineStr">
        <is>
          <t>SEM</t>
        </is>
      </c>
      <c r="H15" s="26" t="inlineStr">
        <is>
          <t>Seminário 1 — Língua Portuguesa I</t>
        </is>
      </c>
      <c r="I15" s="26" t="inlineStr">
        <is>
          <t>Módulo 1 — Comunicação oral e escrita em contexto de saúde</t>
        </is>
      </c>
      <c r="J15" s="24" t="inlineStr">
        <is>
          <t>Formador(a) convidado(a)</t>
        </is>
      </c>
      <c r="K15" s="23" t="inlineStr">
        <is>
          <t>T</t>
        </is>
      </c>
      <c r="L15" s="23" t="n">
        <v>90</v>
      </c>
    </row>
    <row r="16">
      <c r="A16" s="7" t="n">
        <v>14</v>
      </c>
      <c r="B16" s="8" t="inlineStr">
        <is>
          <t>29/09/2026</t>
        </is>
      </c>
      <c r="C16" s="8" t="inlineStr">
        <is>
          <t>Terça-feira</t>
        </is>
      </c>
      <c r="D16" s="7" t="n">
        <v>1</v>
      </c>
      <c r="E16" s="8" t="inlineStr">
        <is>
          <t>09h30–09h45</t>
        </is>
      </c>
      <c r="F16" s="8" t="inlineStr">
        <is>
          <t>Intervalo</t>
        </is>
      </c>
      <c r="G16" s="9" t="inlineStr">
        <is>
          <t>—</t>
        </is>
      </c>
      <c r="H16" s="10" t="inlineStr">
        <is>
          <t>—</t>
        </is>
      </c>
      <c r="I16" s="10" t="inlineStr">
        <is>
          <t>Intervalo regulamentar</t>
        </is>
      </c>
      <c r="J16" s="8" t="inlineStr">
        <is>
          <t>—</t>
        </is>
      </c>
      <c r="K16" s="7" t="inlineStr">
        <is>
          <t>—</t>
        </is>
      </c>
      <c r="L16" s="7" t="n">
        <v>15</v>
      </c>
    </row>
    <row r="17">
      <c r="A17" s="23" t="n">
        <v>15</v>
      </c>
      <c r="B17" s="24" t="inlineStr">
        <is>
          <t>29/09/2026</t>
        </is>
      </c>
      <c r="C17" s="24" t="inlineStr">
        <is>
          <t>Terça-feira</t>
        </is>
      </c>
      <c r="D17" s="23" t="n">
        <v>1</v>
      </c>
      <c r="E17" s="24" t="inlineStr">
        <is>
          <t>09h45–11h15</t>
        </is>
      </c>
      <c r="F17" s="24" t="inlineStr">
        <is>
          <t>2.º tempo</t>
        </is>
      </c>
      <c r="G17" s="25" t="inlineStr">
        <is>
          <t>SEM</t>
        </is>
      </c>
      <c r="H17" s="26" t="inlineStr">
        <is>
          <t>Seminário 1 — Língua Portuguesa I</t>
        </is>
      </c>
      <c r="I17" s="26" t="inlineStr">
        <is>
          <t>Módulo 2 — Comunicação oral e escrita em contexto de saúde</t>
        </is>
      </c>
      <c r="J17" s="24" t="inlineStr">
        <is>
          <t>Formador(a) convidado(a)</t>
        </is>
      </c>
      <c r="K17" s="23" t="inlineStr">
        <is>
          <t>T</t>
        </is>
      </c>
      <c r="L17" s="23" t="n">
        <v>90</v>
      </c>
    </row>
    <row r="18">
      <c r="A18" s="23" t="n">
        <v>16</v>
      </c>
      <c r="B18" s="24" t="inlineStr">
        <is>
          <t>29/09/2026</t>
        </is>
      </c>
      <c r="C18" s="24" t="inlineStr">
        <is>
          <t>Terça-feira</t>
        </is>
      </c>
      <c r="D18" s="23" t="n">
        <v>1</v>
      </c>
      <c r="E18" s="24" t="inlineStr">
        <is>
          <t>11h15–12h15</t>
        </is>
      </c>
      <c r="F18" s="24" t="inlineStr">
        <is>
          <t>Bloco complementar</t>
        </is>
      </c>
      <c r="G18" s="25" t="inlineStr">
        <is>
          <t>SEM</t>
        </is>
      </c>
      <c r="H18" s="26" t="inlineStr">
        <is>
          <t>Seminário 1 — Língua Portuguesa I</t>
        </is>
      </c>
      <c r="I18" s="26" t="inlineStr">
        <is>
          <t>Oficina e ficha-síntese de participação</t>
        </is>
      </c>
      <c r="J18" s="24" t="inlineStr">
        <is>
          <t>Formador(a) convidado(a)</t>
        </is>
      </c>
      <c r="K18" s="23" t="inlineStr">
        <is>
          <t>P</t>
        </is>
      </c>
      <c r="L18" s="23" t="n">
        <v>60</v>
      </c>
    </row>
    <row r="19">
      <c r="A19" s="19" t="n">
        <v>17</v>
      </c>
      <c r="B19" s="20" t="inlineStr">
        <is>
          <t>01/10/2026</t>
        </is>
      </c>
      <c r="C19" s="20" t="inlineStr">
        <is>
          <t>Quinta-feira</t>
        </is>
      </c>
      <c r="D19" s="19" t="n">
        <v>1</v>
      </c>
      <c r="E19" s="20" t="inlineStr">
        <is>
          <t>08h00–09h30</t>
        </is>
      </c>
      <c r="F19" s="20" t="inlineStr">
        <is>
          <t>1.º tempo lectivo</t>
        </is>
      </c>
      <c r="G19" s="21" t="inlineStr">
        <is>
          <t>EPSC</t>
        </is>
      </c>
      <c r="H19" s="22" t="inlineStr">
        <is>
          <t>UI — Crescimento, desenvolvimento e avaliação da criança</t>
        </is>
      </c>
      <c r="I19" s="22" t="inlineStr">
        <is>
          <t>Crescimento e desenvolvimento: marcos, curvas de crescimento e avaliação antropométrica · Enquadramento teórico e demonstração da técnica</t>
        </is>
      </c>
      <c r="J19" s="20" t="inlineStr">
        <is>
          <t>Prof. Eduardo David</t>
        </is>
      </c>
      <c r="K19" s="19" t="inlineStr">
        <is>
          <t>TP</t>
        </is>
      </c>
      <c r="L19" s="19" t="n">
        <v>90</v>
      </c>
    </row>
    <row r="20">
      <c r="A20" s="7" t="n">
        <v>18</v>
      </c>
      <c r="B20" s="8" t="inlineStr">
        <is>
          <t>01/10/2026</t>
        </is>
      </c>
      <c r="C20" s="8" t="inlineStr">
        <is>
          <t>Quinta-feira</t>
        </is>
      </c>
      <c r="D20" s="7" t="n">
        <v>1</v>
      </c>
      <c r="E20" s="8" t="inlineStr">
        <is>
          <t>09h30–09h45</t>
        </is>
      </c>
      <c r="F20" s="8" t="inlineStr">
        <is>
          <t>Intervalo</t>
        </is>
      </c>
      <c r="G20" s="9" t="inlineStr">
        <is>
          <t>—</t>
        </is>
      </c>
      <c r="H20" s="10" t="inlineStr">
        <is>
          <t>—</t>
        </is>
      </c>
      <c r="I20" s="10" t="inlineStr">
        <is>
          <t>Intervalo regulamentar</t>
        </is>
      </c>
      <c r="J20" s="8" t="inlineStr">
        <is>
          <t>—</t>
        </is>
      </c>
      <c r="K20" s="7" t="inlineStr">
        <is>
          <t>—</t>
        </is>
      </c>
      <c r="L20" s="7" t="n">
        <v>15</v>
      </c>
    </row>
    <row r="21">
      <c r="A21" s="19" t="n">
        <v>19</v>
      </c>
      <c r="B21" s="20" t="inlineStr">
        <is>
          <t>01/10/2026</t>
        </is>
      </c>
      <c r="C21" s="20" t="inlineStr">
        <is>
          <t>Quinta-feira</t>
        </is>
      </c>
      <c r="D21" s="19" t="n">
        <v>1</v>
      </c>
      <c r="E21" s="20" t="inlineStr">
        <is>
          <t>09h45–11h15</t>
        </is>
      </c>
      <c r="F21" s="20" t="inlineStr">
        <is>
          <t>2.º tempo lectivo</t>
        </is>
      </c>
      <c r="G21" s="21" t="inlineStr">
        <is>
          <t>EPSC</t>
        </is>
      </c>
      <c r="H21" s="22" t="inlineStr">
        <is>
          <t>UI — Crescimento, desenvolvimento e avaliação da criança</t>
        </is>
      </c>
      <c r="I21" s="22" t="inlineStr">
        <is>
          <t>Crescimento e desenvolvimento: marcos, curvas de crescimento e avaliação antropométrica · Treino prático supervisionado e estudo de caso</t>
        </is>
      </c>
      <c r="J21" s="20" t="inlineStr">
        <is>
          <t>Prof. Eduardo David</t>
        </is>
      </c>
      <c r="K21" s="19" t="inlineStr">
        <is>
          <t>P</t>
        </is>
      </c>
      <c r="L21" s="19" t="n">
        <v>90</v>
      </c>
    </row>
    <row r="22">
      <c r="A22" s="15" t="n">
        <v>20</v>
      </c>
      <c r="B22" s="16" t="inlineStr">
        <is>
          <t>01/10/2026</t>
        </is>
      </c>
      <c r="C22" s="16" t="inlineStr">
        <is>
          <t>Quinta-feira</t>
        </is>
      </c>
      <c r="D22" s="15" t="n">
        <v>1</v>
      </c>
      <c r="E22" s="16" t="inlineStr">
        <is>
          <t>11h15–12h15</t>
        </is>
      </c>
      <c r="F22" s="16" t="inlineStr">
        <is>
          <t>Bloco complementar</t>
        </is>
      </c>
      <c r="G22" s="17" t="inlineStr">
        <is>
          <t>SMON</t>
        </is>
      </c>
      <c r="H22" s="18" t="inlineStr">
        <is>
          <t>UI — Saúde sexual e reprodutiva e planeamento familiar</t>
        </is>
      </c>
      <c r="I22" s="18" t="inlineStr">
        <is>
          <t>Anatomofisiologia aplicada do aparelho reprodutor feminino e ciclo menstrual (pré-requisito de Anatomia) · Exposição e discussão dirigida</t>
        </is>
      </c>
      <c r="J22" s="16" t="inlineStr">
        <is>
          <t>Prof. Eduardo David</t>
        </is>
      </c>
      <c r="K22" s="15" t="inlineStr">
        <is>
          <t>T</t>
        </is>
      </c>
      <c r="L22" s="15" t="n">
        <v>60</v>
      </c>
    </row>
    <row r="23">
      <c r="A23" s="11" t="n">
        <v>21</v>
      </c>
      <c r="B23" s="12" t="inlineStr">
        <is>
          <t>06/10/2026</t>
        </is>
      </c>
      <c r="C23" s="12" t="inlineStr">
        <is>
          <t>Terça-feira</t>
        </is>
      </c>
      <c r="D23" s="11" t="n">
        <v>1</v>
      </c>
      <c r="E23" s="12" t="inlineStr">
        <is>
          <t>08h00–09h30</t>
        </is>
      </c>
      <c r="F23" s="12" t="inlineStr">
        <is>
          <t>1.º tempo lectivo</t>
        </is>
      </c>
      <c r="G23" s="13" t="inlineStr">
        <is>
          <t>UEPS</t>
        </is>
      </c>
      <c r="H23" s="14" t="inlineStr">
        <is>
          <t>UI — Organização da urgência, triagem e abordagem primária</t>
        </is>
      </c>
      <c r="I23" s="14" t="inlineStr">
        <is>
          <t>Abordagem primária ABCDE: método, sequência, reavaliação e treino em cenário simulado · Demonstração da técnica e critérios de execução</t>
        </is>
      </c>
      <c r="J23" s="12" t="inlineStr">
        <is>
          <t>Prof. Manuel Jorge Weber</t>
        </is>
      </c>
      <c r="K23" s="11" t="inlineStr">
        <is>
          <t>P</t>
        </is>
      </c>
      <c r="L23" s="11" t="n">
        <v>90</v>
      </c>
    </row>
    <row r="24">
      <c r="A24" s="7" t="n">
        <v>22</v>
      </c>
      <c r="B24" s="8" t="inlineStr">
        <is>
          <t>06/10/2026</t>
        </is>
      </c>
      <c r="C24" s="8" t="inlineStr">
        <is>
          <t>Terça-feira</t>
        </is>
      </c>
      <c r="D24" s="7" t="n">
        <v>1</v>
      </c>
      <c r="E24" s="8" t="inlineStr">
        <is>
          <t>09h30–09h45</t>
        </is>
      </c>
      <c r="F24" s="8" t="inlineStr">
        <is>
          <t>Intervalo</t>
        </is>
      </c>
      <c r="G24" s="9" t="inlineStr">
        <is>
          <t>—</t>
        </is>
      </c>
      <c r="H24" s="10" t="inlineStr">
        <is>
          <t>—</t>
        </is>
      </c>
      <c r="I24" s="10" t="inlineStr">
        <is>
          <t>Intervalo regulamentar</t>
        </is>
      </c>
      <c r="J24" s="8" t="inlineStr">
        <is>
          <t>—</t>
        </is>
      </c>
      <c r="K24" s="7" t="inlineStr">
        <is>
          <t>—</t>
        </is>
      </c>
      <c r="L24" s="7" t="n">
        <v>15</v>
      </c>
    </row>
    <row r="25">
      <c r="A25" s="11" t="n">
        <v>23</v>
      </c>
      <c r="B25" s="12" t="inlineStr">
        <is>
          <t>06/10/2026</t>
        </is>
      </c>
      <c r="C25" s="12" t="inlineStr">
        <is>
          <t>Terça-feira</t>
        </is>
      </c>
      <c r="D25" s="11" t="n">
        <v>1</v>
      </c>
      <c r="E25" s="12" t="inlineStr">
        <is>
          <t>09h45–11h15</t>
        </is>
      </c>
      <c r="F25" s="12" t="inlineStr">
        <is>
          <t>2.º tempo lectivo</t>
        </is>
      </c>
      <c r="G25" s="13" t="inlineStr">
        <is>
          <t>UEPS</t>
        </is>
      </c>
      <c r="H25" s="14" t="inlineStr">
        <is>
          <t>UI — Organização da urgência, triagem e abordagem primária</t>
        </is>
      </c>
      <c r="I25" s="14" t="inlineStr">
        <is>
          <t>Abordagem primária ABCDE: método, sequência, reavaliação e treino em cenário simulado · Treino prático em estações com correcção individual</t>
        </is>
      </c>
      <c r="J25" s="12" t="inlineStr">
        <is>
          <t>Prof. Manuel Jorge Weber</t>
        </is>
      </c>
      <c r="K25" s="11" t="inlineStr">
        <is>
          <t>P</t>
        </is>
      </c>
      <c r="L25" s="11" t="n">
        <v>90</v>
      </c>
    </row>
    <row r="26">
      <c r="A26" s="3" t="n">
        <v>24</v>
      </c>
      <c r="B26" s="4" t="inlineStr">
        <is>
          <t>06/10/2026</t>
        </is>
      </c>
      <c r="C26" s="4" t="inlineStr">
        <is>
          <t>Terça-feira</t>
        </is>
      </c>
      <c r="D26" s="3" t="n">
        <v>1</v>
      </c>
      <c r="E26" s="4" t="inlineStr">
        <is>
          <t>11h15–12h15</t>
        </is>
      </c>
      <c r="F26" s="4" t="inlineStr">
        <is>
          <t>Bloco complementar</t>
        </is>
      </c>
      <c r="G26" s="5" t="inlineStr">
        <is>
          <t>EMC</t>
        </is>
      </c>
      <c r="H26" s="6" t="inlineStr">
        <is>
          <t>UI — Avaliação inicial do doente adulto e registos de enfermagem</t>
        </is>
      </c>
      <c r="I26" s="6" t="inlineStr">
        <is>
          <t>Sinais vitais: técnica, valores de referência e interpretação de desvios (pré-requisito de Técnicas de Enfermagem) · Treino prático supervisionado</t>
        </is>
      </c>
      <c r="J26" s="4" t="inlineStr">
        <is>
          <t>Prof. Manuel Jorge Weber</t>
        </is>
      </c>
      <c r="K26" s="3" t="inlineStr">
        <is>
          <t>P</t>
        </is>
      </c>
      <c r="L26" s="3" t="n">
        <v>60</v>
      </c>
    </row>
    <row r="27">
      <c r="A27" s="15" t="n">
        <v>25</v>
      </c>
      <c r="B27" s="16" t="inlineStr">
        <is>
          <t>08/10/2026</t>
        </is>
      </c>
      <c r="C27" s="16" t="inlineStr">
        <is>
          <t>Quinta-feira</t>
        </is>
      </c>
      <c r="D27" s="15" t="n">
        <v>1</v>
      </c>
      <c r="E27" s="16" t="inlineStr">
        <is>
          <t>08h00–09h30</t>
        </is>
      </c>
      <c r="F27" s="16" t="inlineStr">
        <is>
          <t>1.º tempo lectivo</t>
        </is>
      </c>
      <c r="G27" s="17" t="inlineStr">
        <is>
          <t>SMON</t>
        </is>
      </c>
      <c r="H27" s="18" t="inlineStr">
        <is>
          <t>UI — Saúde sexual e reprodutiva e planeamento familiar</t>
        </is>
      </c>
      <c r="I27" s="18" t="inlineStr">
        <is>
          <t>Planeamento familiar: métodos contraceptivos, aconselhamento, técnica de administração e seguimento · Enquadramento teórico e demonstração da técnica</t>
        </is>
      </c>
      <c r="J27" s="16" t="inlineStr">
        <is>
          <t>Prof. Eduardo David</t>
        </is>
      </c>
      <c r="K27" s="15" t="inlineStr">
        <is>
          <t>TP</t>
        </is>
      </c>
      <c r="L27" s="15" t="n">
        <v>90</v>
      </c>
    </row>
    <row r="28">
      <c r="A28" s="7" t="n">
        <v>26</v>
      </c>
      <c r="B28" s="8" t="inlineStr">
        <is>
          <t>08/10/2026</t>
        </is>
      </c>
      <c r="C28" s="8" t="inlineStr">
        <is>
          <t>Quinta-feira</t>
        </is>
      </c>
      <c r="D28" s="7" t="n">
        <v>1</v>
      </c>
      <c r="E28" s="8" t="inlineStr">
        <is>
          <t>09h30–09h45</t>
        </is>
      </c>
      <c r="F28" s="8" t="inlineStr">
        <is>
          <t>Intervalo</t>
        </is>
      </c>
      <c r="G28" s="9" t="inlineStr">
        <is>
          <t>—</t>
        </is>
      </c>
      <c r="H28" s="10" t="inlineStr">
        <is>
          <t>—</t>
        </is>
      </c>
      <c r="I28" s="10" t="inlineStr">
        <is>
          <t>Intervalo regulamentar</t>
        </is>
      </c>
      <c r="J28" s="8" t="inlineStr">
        <is>
          <t>—</t>
        </is>
      </c>
      <c r="K28" s="7" t="inlineStr">
        <is>
          <t>—</t>
        </is>
      </c>
      <c r="L28" s="7" t="n">
        <v>15</v>
      </c>
    </row>
    <row r="29">
      <c r="A29" s="15" t="n">
        <v>27</v>
      </c>
      <c r="B29" s="16" t="inlineStr">
        <is>
          <t>08/10/2026</t>
        </is>
      </c>
      <c r="C29" s="16" t="inlineStr">
        <is>
          <t>Quinta-feira</t>
        </is>
      </c>
      <c r="D29" s="15" t="n">
        <v>1</v>
      </c>
      <c r="E29" s="16" t="inlineStr">
        <is>
          <t>09h45–11h15</t>
        </is>
      </c>
      <c r="F29" s="16" t="inlineStr">
        <is>
          <t>2.º tempo lectivo</t>
        </is>
      </c>
      <c r="G29" s="17" t="inlineStr">
        <is>
          <t>SMON</t>
        </is>
      </c>
      <c r="H29" s="18" t="inlineStr">
        <is>
          <t>UI — Saúde sexual e reprodutiva e planeamento familiar</t>
        </is>
      </c>
      <c r="I29" s="18" t="inlineStr">
        <is>
          <t>Planeamento familiar: métodos contraceptivos, aconselhamento, técnica de administração e seguimento · Treino prático supervisionado e estudo de caso</t>
        </is>
      </c>
      <c r="J29" s="16" t="inlineStr">
        <is>
          <t>Prof. Eduardo David</t>
        </is>
      </c>
      <c r="K29" s="15" t="inlineStr">
        <is>
          <t>P</t>
        </is>
      </c>
      <c r="L29" s="15" t="n">
        <v>90</v>
      </c>
    </row>
    <row r="30">
      <c r="A30" s="19" t="n">
        <v>28</v>
      </c>
      <c r="B30" s="20" t="inlineStr">
        <is>
          <t>08/10/2026</t>
        </is>
      </c>
      <c r="C30" s="20" t="inlineStr">
        <is>
          <t>Quinta-feira</t>
        </is>
      </c>
      <c r="D30" s="19" t="n">
        <v>1</v>
      </c>
      <c r="E30" s="20" t="inlineStr">
        <is>
          <t>11h15–12h15</t>
        </is>
      </c>
      <c r="F30" s="20" t="inlineStr">
        <is>
          <t>Bloco complementar</t>
        </is>
      </c>
      <c r="G30" s="21" t="inlineStr">
        <is>
          <t>EPSC</t>
        </is>
      </c>
      <c r="H30" s="22" t="inlineStr">
        <is>
          <t>UI — Crescimento, desenvolvimento e avaliação da criança</t>
        </is>
      </c>
      <c r="I30" s="22" t="inlineStr">
        <is>
          <t>Sinais vitais pediátricos por faixa etária e sinais gerais de perigo · Treino prático supervisionado</t>
        </is>
      </c>
      <c r="J30" s="20" t="inlineStr">
        <is>
          <t>Prof. Eduardo David</t>
        </is>
      </c>
      <c r="K30" s="19" t="inlineStr">
        <is>
          <t>P</t>
        </is>
      </c>
      <c r="L30" s="19" t="n">
        <v>60</v>
      </c>
    </row>
    <row r="31">
      <c r="A31" s="3" t="n">
        <v>29</v>
      </c>
      <c r="B31" s="4" t="inlineStr">
        <is>
          <t>13/10/2026</t>
        </is>
      </c>
      <c r="C31" s="4" t="inlineStr">
        <is>
          <t>Terça-feira</t>
        </is>
      </c>
      <c r="D31" s="3" t="n">
        <v>1</v>
      </c>
      <c r="E31" s="4" t="inlineStr">
        <is>
          <t>08h00–09h30</t>
        </is>
      </c>
      <c r="F31" s="4" t="inlineStr">
        <is>
          <t>1.º tempo lectivo</t>
        </is>
      </c>
      <c r="G31" s="5" t="inlineStr">
        <is>
          <t>EMC</t>
        </is>
      </c>
      <c r="H31" s="6" t="inlineStr">
        <is>
          <t>UI — Avaliação inicial do doente adulto e registos de enfermagem</t>
        </is>
      </c>
      <c r="I31" s="6" t="inlineStr">
        <is>
          <t>Registos de enfermagem: processo do doente, notas de evolução, folha terapêutica e passagem de turno estruturada · Enquadramento teórico e demonstração da técnica</t>
        </is>
      </c>
      <c r="J31" s="4" t="inlineStr">
        <is>
          <t>Prof. Manuel Jorge Weber</t>
        </is>
      </c>
      <c r="K31" s="3" t="inlineStr">
        <is>
          <t>TP</t>
        </is>
      </c>
      <c r="L31" s="3" t="n">
        <v>90</v>
      </c>
    </row>
    <row r="32">
      <c r="A32" s="7" t="n">
        <v>30</v>
      </c>
      <c r="B32" s="8" t="inlineStr">
        <is>
          <t>13/10/2026</t>
        </is>
      </c>
      <c r="C32" s="8" t="inlineStr">
        <is>
          <t>Terça-feira</t>
        </is>
      </c>
      <c r="D32" s="7" t="n">
        <v>1</v>
      </c>
      <c r="E32" s="8" t="inlineStr">
        <is>
          <t>09h30–09h45</t>
        </is>
      </c>
      <c r="F32" s="8" t="inlineStr">
        <is>
          <t>Intervalo</t>
        </is>
      </c>
      <c r="G32" s="9" t="inlineStr">
        <is>
          <t>—</t>
        </is>
      </c>
      <c r="H32" s="10" t="inlineStr">
        <is>
          <t>—</t>
        </is>
      </c>
      <c r="I32" s="10" t="inlineStr">
        <is>
          <t>Intervalo regulamentar</t>
        </is>
      </c>
      <c r="J32" s="8" t="inlineStr">
        <is>
          <t>—</t>
        </is>
      </c>
      <c r="K32" s="7" t="inlineStr">
        <is>
          <t>—</t>
        </is>
      </c>
      <c r="L32" s="7" t="n">
        <v>15</v>
      </c>
    </row>
    <row r="33">
      <c r="A33" s="3" t="n">
        <v>31</v>
      </c>
      <c r="B33" s="4" t="inlineStr">
        <is>
          <t>13/10/2026</t>
        </is>
      </c>
      <c r="C33" s="4" t="inlineStr">
        <is>
          <t>Terça-feira</t>
        </is>
      </c>
      <c r="D33" s="3" t="n">
        <v>1</v>
      </c>
      <c r="E33" s="4" t="inlineStr">
        <is>
          <t>09h45–11h15</t>
        </is>
      </c>
      <c r="F33" s="4" t="inlineStr">
        <is>
          <t>2.º tempo lectivo</t>
        </is>
      </c>
      <c r="G33" s="5" t="inlineStr">
        <is>
          <t>EMC</t>
        </is>
      </c>
      <c r="H33" s="6" t="inlineStr">
        <is>
          <t>UI — Avaliação inicial do doente adulto e registos de enfermagem</t>
        </is>
      </c>
      <c r="I33" s="6" t="inlineStr">
        <is>
          <t>Registos de enfermagem: processo do doente, notas de evolução, folha terapêutica e passagem de turno estruturada · Treino prático supervisionado e estudo de caso</t>
        </is>
      </c>
      <c r="J33" s="4" t="inlineStr">
        <is>
          <t>Prof. Manuel Jorge Weber</t>
        </is>
      </c>
      <c r="K33" s="3" t="inlineStr">
        <is>
          <t>P</t>
        </is>
      </c>
      <c r="L33" s="3" t="n">
        <v>90</v>
      </c>
    </row>
    <row r="34">
      <c r="A34" s="11" t="n">
        <v>32</v>
      </c>
      <c r="B34" s="12" t="inlineStr">
        <is>
          <t>13/10/2026</t>
        </is>
      </c>
      <c r="C34" s="12" t="inlineStr">
        <is>
          <t>Terça-feira</t>
        </is>
      </c>
      <c r="D34" s="11" t="n">
        <v>1</v>
      </c>
      <c r="E34" s="12" t="inlineStr">
        <is>
          <t>11h15–12h15</t>
        </is>
      </c>
      <c r="F34" s="12" t="inlineStr">
        <is>
          <t>Bloco complementar</t>
        </is>
      </c>
      <c r="G34" s="13" t="inlineStr">
        <is>
          <t>UEPS</t>
        </is>
      </c>
      <c r="H34" s="14" t="inlineStr">
        <is>
          <t>UI — Organização da urgência, triagem e abordagem primária</t>
        </is>
      </c>
      <c r="I34" s="14" t="inlineStr">
        <is>
          <t>Registo do episódio de urgência e comunicação estruturada com a equipa · Demonstração e aplicação prática</t>
        </is>
      </c>
      <c r="J34" s="12" t="inlineStr">
        <is>
          <t>Prof. Manuel Jorge Weber</t>
        </is>
      </c>
      <c r="K34" s="11" t="inlineStr">
        <is>
          <t>TP</t>
        </is>
      </c>
      <c r="L34" s="11" t="n">
        <v>60</v>
      </c>
    </row>
    <row r="35">
      <c r="A35" s="19" t="n">
        <v>33</v>
      </c>
      <c r="B35" s="20" t="inlineStr">
        <is>
          <t>15/10/2026</t>
        </is>
      </c>
      <c r="C35" s="20" t="inlineStr">
        <is>
          <t>Quinta-feira</t>
        </is>
      </c>
      <c r="D35" s="19" t="n">
        <v>2</v>
      </c>
      <c r="E35" s="20" t="inlineStr">
        <is>
          <t>08h00–09h30</t>
        </is>
      </c>
      <c r="F35" s="20" t="inlineStr">
        <is>
          <t>1.º tempo lectivo</t>
        </is>
      </c>
      <c r="G35" s="21" t="inlineStr">
        <is>
          <t>EPSC</t>
        </is>
      </c>
      <c r="H35" s="22" t="inlineStr">
        <is>
          <t>UII — Nutrição infantil e malnutrição aguda</t>
        </is>
      </c>
      <c r="I35" s="22" t="inlineStr">
        <is>
          <t>Aleitamento exclusivo, diversificação alimentar e erros alimentares frequentes · Enquadramento teórico e demonstração da técnica</t>
        </is>
      </c>
      <c r="J35" s="20" t="inlineStr">
        <is>
          <t>Prof. Eduardo David</t>
        </is>
      </c>
      <c r="K35" s="19" t="inlineStr">
        <is>
          <t>TP</t>
        </is>
      </c>
      <c r="L35" s="19" t="n">
        <v>90</v>
      </c>
    </row>
    <row r="36">
      <c r="A36" s="7" t="n">
        <v>34</v>
      </c>
      <c r="B36" s="8" t="inlineStr">
        <is>
          <t>15/10/2026</t>
        </is>
      </c>
      <c r="C36" s="8" t="inlineStr">
        <is>
          <t>Quinta-feira</t>
        </is>
      </c>
      <c r="D36" s="7" t="n">
        <v>2</v>
      </c>
      <c r="E36" s="8" t="inlineStr">
        <is>
          <t>09h30–09h45</t>
        </is>
      </c>
      <c r="F36" s="8" t="inlineStr">
        <is>
          <t>Intervalo</t>
        </is>
      </c>
      <c r="G36" s="9" t="inlineStr">
        <is>
          <t>—</t>
        </is>
      </c>
      <c r="H36" s="10" t="inlineStr">
        <is>
          <t>—</t>
        </is>
      </c>
      <c r="I36" s="10" t="inlineStr">
        <is>
          <t>Intervalo regulamentar</t>
        </is>
      </c>
      <c r="J36" s="8" t="inlineStr">
        <is>
          <t>—</t>
        </is>
      </c>
      <c r="K36" s="7" t="inlineStr">
        <is>
          <t>—</t>
        </is>
      </c>
      <c r="L36" s="7" t="n">
        <v>15</v>
      </c>
    </row>
    <row r="37">
      <c r="A37" s="19" t="n">
        <v>35</v>
      </c>
      <c r="B37" s="20" t="inlineStr">
        <is>
          <t>15/10/2026</t>
        </is>
      </c>
      <c r="C37" s="20" t="inlineStr">
        <is>
          <t>Quinta-feira</t>
        </is>
      </c>
      <c r="D37" s="19" t="n">
        <v>2</v>
      </c>
      <c r="E37" s="20" t="inlineStr">
        <is>
          <t>09h45–11h15</t>
        </is>
      </c>
      <c r="F37" s="20" t="inlineStr">
        <is>
          <t>2.º tempo lectivo</t>
        </is>
      </c>
      <c r="G37" s="21" t="inlineStr">
        <is>
          <t>EPSC</t>
        </is>
      </c>
      <c r="H37" s="22" t="inlineStr">
        <is>
          <t>UII — Nutrição infantil e malnutrição aguda</t>
        </is>
      </c>
      <c r="I37" s="22" t="inlineStr">
        <is>
          <t>Aleitamento exclusivo, diversificação alimentar e erros alimentares frequentes · Treino prático supervisionado e estudo de caso</t>
        </is>
      </c>
      <c r="J37" s="20" t="inlineStr">
        <is>
          <t>Prof. Eduardo David</t>
        </is>
      </c>
      <c r="K37" s="19" t="inlineStr">
        <is>
          <t>P</t>
        </is>
      </c>
      <c r="L37" s="19" t="n">
        <v>90</v>
      </c>
    </row>
    <row r="38">
      <c r="A38" s="15" t="n">
        <v>36</v>
      </c>
      <c r="B38" s="16" t="inlineStr">
        <is>
          <t>15/10/2026</t>
        </is>
      </c>
      <c r="C38" s="16" t="inlineStr">
        <is>
          <t>Quinta-feira</t>
        </is>
      </c>
      <c r="D38" s="15" t="n">
        <v>2</v>
      </c>
      <c r="E38" s="16" t="inlineStr">
        <is>
          <t>11h15–12h15</t>
        </is>
      </c>
      <c r="F38" s="16" t="inlineStr">
        <is>
          <t>Bloco complementar</t>
        </is>
      </c>
      <c r="G38" s="17" t="inlineStr">
        <is>
          <t>SMON</t>
        </is>
      </c>
      <c r="H38" s="18" t="inlineStr">
        <is>
          <t>UII — Vigilância pré-natal</t>
        </is>
      </c>
      <c r="I38" s="18" t="inlineStr">
        <is>
          <t>Diagnóstico de gravidez, modificações fisiológicas e cálculo da idade gestacional e da data provável do parto · Demonstração e aplicação prática</t>
        </is>
      </c>
      <c r="J38" s="16" t="inlineStr">
        <is>
          <t>Prof. Eduardo David</t>
        </is>
      </c>
      <c r="K38" s="15" t="inlineStr">
        <is>
          <t>TP</t>
        </is>
      </c>
      <c r="L38" s="15" t="n">
        <v>60</v>
      </c>
    </row>
    <row r="39">
      <c r="A39" s="11" t="n">
        <v>37</v>
      </c>
      <c r="B39" s="12" t="inlineStr">
        <is>
          <t>20/10/2026</t>
        </is>
      </c>
      <c r="C39" s="12" t="inlineStr">
        <is>
          <t>Terça-feira</t>
        </is>
      </c>
      <c r="D39" s="11" t="n">
        <v>2</v>
      </c>
      <c r="E39" s="12" t="inlineStr">
        <is>
          <t>08h00–09h30</t>
        </is>
      </c>
      <c r="F39" s="12" t="inlineStr">
        <is>
          <t>1.º tempo lectivo</t>
        </is>
      </c>
      <c r="G39" s="13" t="inlineStr">
        <is>
          <t>UEPS</t>
        </is>
      </c>
      <c r="H39" s="14" t="inlineStr">
        <is>
          <t>UII — Via aérea, ventilação e Suporte Básico de Vida com DAE</t>
        </is>
      </c>
      <c r="I39" s="14" t="inlineStr">
        <is>
          <t>Permeabilização da via aérea, posição lateral de segurança, aspiração e tubo orofaríngeo · Demonstração da técnica e critérios de execução</t>
        </is>
      </c>
      <c r="J39" s="12" t="inlineStr">
        <is>
          <t>Prof. Manuel Jorge Weber</t>
        </is>
      </c>
      <c r="K39" s="11" t="inlineStr">
        <is>
          <t>P</t>
        </is>
      </c>
      <c r="L39" s="11" t="n">
        <v>90</v>
      </c>
    </row>
    <row r="40">
      <c r="A40" s="7" t="n">
        <v>38</v>
      </c>
      <c r="B40" s="8" t="inlineStr">
        <is>
          <t>20/10/2026</t>
        </is>
      </c>
      <c r="C40" s="8" t="inlineStr">
        <is>
          <t>Terça-feira</t>
        </is>
      </c>
      <c r="D40" s="7" t="n">
        <v>2</v>
      </c>
      <c r="E40" s="8" t="inlineStr">
        <is>
          <t>09h30–09h45</t>
        </is>
      </c>
      <c r="F40" s="8" t="inlineStr">
        <is>
          <t>Intervalo</t>
        </is>
      </c>
      <c r="G40" s="9" t="inlineStr">
        <is>
          <t>—</t>
        </is>
      </c>
      <c r="H40" s="10" t="inlineStr">
        <is>
          <t>—</t>
        </is>
      </c>
      <c r="I40" s="10" t="inlineStr">
        <is>
          <t>Intervalo regulamentar</t>
        </is>
      </c>
      <c r="J40" s="8" t="inlineStr">
        <is>
          <t>—</t>
        </is>
      </c>
      <c r="K40" s="7" t="inlineStr">
        <is>
          <t>—</t>
        </is>
      </c>
      <c r="L40" s="7" t="n">
        <v>15</v>
      </c>
    </row>
    <row r="41">
      <c r="A41" s="11" t="n">
        <v>39</v>
      </c>
      <c r="B41" s="12" t="inlineStr">
        <is>
          <t>20/10/2026</t>
        </is>
      </c>
      <c r="C41" s="12" t="inlineStr">
        <is>
          <t>Terça-feira</t>
        </is>
      </c>
      <c r="D41" s="11" t="n">
        <v>2</v>
      </c>
      <c r="E41" s="12" t="inlineStr">
        <is>
          <t>09h45–11h15</t>
        </is>
      </c>
      <c r="F41" s="12" t="inlineStr">
        <is>
          <t>2.º tempo lectivo</t>
        </is>
      </c>
      <c r="G41" s="13" t="inlineStr">
        <is>
          <t>UEPS</t>
        </is>
      </c>
      <c r="H41" s="14" t="inlineStr">
        <is>
          <t>UII — Via aérea, ventilação e Suporte Básico de Vida com DAE</t>
        </is>
      </c>
      <c r="I41" s="14" t="inlineStr">
        <is>
          <t>Permeabilização da via aérea, posição lateral de segurança, aspiração e tubo orofaríngeo · Treino prático em estações com correcção individual</t>
        </is>
      </c>
      <c r="J41" s="12" t="inlineStr">
        <is>
          <t>Prof. Manuel Jorge Weber</t>
        </is>
      </c>
      <c r="K41" s="11" t="inlineStr">
        <is>
          <t>P</t>
        </is>
      </c>
      <c r="L41" s="11" t="n">
        <v>90</v>
      </c>
    </row>
    <row r="42">
      <c r="A42" s="3" t="n">
        <v>40</v>
      </c>
      <c r="B42" s="4" t="inlineStr">
        <is>
          <t>20/10/2026</t>
        </is>
      </c>
      <c r="C42" s="4" t="inlineStr">
        <is>
          <t>Terça-feira</t>
        </is>
      </c>
      <c r="D42" s="3" t="n">
        <v>2</v>
      </c>
      <c r="E42" s="4" t="inlineStr">
        <is>
          <t>11h15–12h15</t>
        </is>
      </c>
      <c r="F42" s="4" t="inlineStr">
        <is>
          <t>Bloco complementar</t>
        </is>
      </c>
      <c r="G42" s="5" t="inlineStr">
        <is>
          <t>EMC</t>
        </is>
      </c>
      <c r="H42" s="6" t="inlineStr">
        <is>
          <t>UII — Biossegurança, prevenção e controlo de infecção e tratamento de feridas</t>
        </is>
      </c>
      <c r="I42" s="6" t="inlineStr">
        <is>
          <t>Infecções associadas aos cuidados de saúde: cadeia de transmissão e precauções-padrão · Exposição e discussão dirigida</t>
        </is>
      </c>
      <c r="J42" s="4" t="inlineStr">
        <is>
          <t>Prof. Manuel Jorge Weber</t>
        </is>
      </c>
      <c r="K42" s="3" t="inlineStr">
        <is>
          <t>T</t>
        </is>
      </c>
      <c r="L42" s="3" t="n">
        <v>60</v>
      </c>
    </row>
    <row r="43">
      <c r="A43" s="15" t="n">
        <v>41</v>
      </c>
      <c r="B43" s="16" t="inlineStr">
        <is>
          <t>22/10/2026</t>
        </is>
      </c>
      <c r="C43" s="16" t="inlineStr">
        <is>
          <t>Quinta-feira</t>
        </is>
      </c>
      <c r="D43" s="15" t="n">
        <v>2</v>
      </c>
      <c r="E43" s="16" t="inlineStr">
        <is>
          <t>08h00–09h30</t>
        </is>
      </c>
      <c r="F43" s="16" t="inlineStr">
        <is>
          <t>1.º tempo lectivo</t>
        </is>
      </c>
      <c r="G43" s="17" t="inlineStr">
        <is>
          <t>SMON</t>
        </is>
      </c>
      <c r="H43" s="18" t="inlineStr">
        <is>
          <t>UII — Vigilância pré-natal</t>
        </is>
      </c>
      <c r="I43" s="18" t="inlineStr">
        <is>
          <t>Consulta pré-natal: calendário, exames de rotina e preenchimento do cartão da grávida · Enquadramento teórico e demonstração da técnica</t>
        </is>
      </c>
      <c r="J43" s="16" t="inlineStr">
        <is>
          <t>Prof. Eduardo David</t>
        </is>
      </c>
      <c r="K43" s="15" t="inlineStr">
        <is>
          <t>TP</t>
        </is>
      </c>
      <c r="L43" s="15" t="n">
        <v>90</v>
      </c>
    </row>
    <row r="44">
      <c r="A44" s="7" t="n">
        <v>42</v>
      </c>
      <c r="B44" s="8" t="inlineStr">
        <is>
          <t>22/10/2026</t>
        </is>
      </c>
      <c r="C44" s="8" t="inlineStr">
        <is>
          <t>Quinta-feira</t>
        </is>
      </c>
      <c r="D44" s="7" t="n">
        <v>2</v>
      </c>
      <c r="E44" s="8" t="inlineStr">
        <is>
          <t>09h30–09h45</t>
        </is>
      </c>
      <c r="F44" s="8" t="inlineStr">
        <is>
          <t>Intervalo</t>
        </is>
      </c>
      <c r="G44" s="9" t="inlineStr">
        <is>
          <t>—</t>
        </is>
      </c>
      <c r="H44" s="10" t="inlineStr">
        <is>
          <t>—</t>
        </is>
      </c>
      <c r="I44" s="10" t="inlineStr">
        <is>
          <t>Intervalo regulamentar</t>
        </is>
      </c>
      <c r="J44" s="8" t="inlineStr">
        <is>
          <t>—</t>
        </is>
      </c>
      <c r="K44" s="7" t="inlineStr">
        <is>
          <t>—</t>
        </is>
      </c>
      <c r="L44" s="7" t="n">
        <v>15</v>
      </c>
    </row>
    <row r="45">
      <c r="A45" s="15" t="n">
        <v>43</v>
      </c>
      <c r="B45" s="16" t="inlineStr">
        <is>
          <t>22/10/2026</t>
        </is>
      </c>
      <c r="C45" s="16" t="inlineStr">
        <is>
          <t>Quinta-feira</t>
        </is>
      </c>
      <c r="D45" s="15" t="n">
        <v>2</v>
      </c>
      <c r="E45" s="16" t="inlineStr">
        <is>
          <t>09h45–11h15</t>
        </is>
      </c>
      <c r="F45" s="16" t="inlineStr">
        <is>
          <t>2.º tempo lectivo</t>
        </is>
      </c>
      <c r="G45" s="17" t="inlineStr">
        <is>
          <t>SMON</t>
        </is>
      </c>
      <c r="H45" s="18" t="inlineStr">
        <is>
          <t>UII — Vigilância pré-natal</t>
        </is>
      </c>
      <c r="I45" s="18" t="inlineStr">
        <is>
          <t>Consulta pré-natal: calendário, exames de rotina e preenchimento do cartão da grávida · Treino prático supervisionado e estudo de caso</t>
        </is>
      </c>
      <c r="J45" s="16" t="inlineStr">
        <is>
          <t>Prof. Eduardo David</t>
        </is>
      </c>
      <c r="K45" s="15" t="inlineStr">
        <is>
          <t>P</t>
        </is>
      </c>
      <c r="L45" s="15" t="n">
        <v>90</v>
      </c>
    </row>
    <row r="46">
      <c r="A46" s="19" t="n">
        <v>44</v>
      </c>
      <c r="B46" s="20" t="inlineStr">
        <is>
          <t>22/10/2026</t>
        </is>
      </c>
      <c r="C46" s="20" t="inlineStr">
        <is>
          <t>Quinta-feira</t>
        </is>
      </c>
      <c r="D46" s="19" t="n">
        <v>2</v>
      </c>
      <c r="E46" s="20" t="inlineStr">
        <is>
          <t>11h15–12h15</t>
        </is>
      </c>
      <c r="F46" s="20" t="inlineStr">
        <is>
          <t>Bloco complementar</t>
        </is>
      </c>
      <c r="G46" s="21" t="inlineStr">
        <is>
          <t>EPSC</t>
        </is>
      </c>
      <c r="H46" s="22" t="inlineStr">
        <is>
          <t>UII — Nutrição infantil e malnutrição aguda</t>
        </is>
      </c>
      <c r="I46" s="22" t="inlineStr">
        <is>
          <t>Rastreio da malnutrição aguda: perímetro braquial e pesquisa de edema bilateral · Treino prático supervisionado</t>
        </is>
      </c>
      <c r="J46" s="20" t="inlineStr">
        <is>
          <t>Prof. Eduardo David</t>
        </is>
      </c>
      <c r="K46" s="19" t="inlineStr">
        <is>
          <t>P</t>
        </is>
      </c>
      <c r="L46" s="19" t="n">
        <v>60</v>
      </c>
    </row>
    <row r="47">
      <c r="A47" s="3" t="n">
        <v>45</v>
      </c>
      <c r="B47" s="4" t="inlineStr">
        <is>
          <t>27/10/2026</t>
        </is>
      </c>
      <c r="C47" s="4" t="inlineStr">
        <is>
          <t>Terça-feira</t>
        </is>
      </c>
      <c r="D47" s="3" t="n">
        <v>2</v>
      </c>
      <c r="E47" s="4" t="inlineStr">
        <is>
          <t>08h00–09h30</t>
        </is>
      </c>
      <c r="F47" s="4" t="inlineStr">
        <is>
          <t>1.º tempo lectivo</t>
        </is>
      </c>
      <c r="G47" s="5" t="inlineStr">
        <is>
          <t>EMC</t>
        </is>
      </c>
      <c r="H47" s="6" t="inlineStr">
        <is>
          <t>UII — Biossegurança, prevenção e controlo de infecção e tratamento de feridas</t>
        </is>
      </c>
      <c r="I47" s="6" t="inlineStr">
        <is>
          <t>Higienização das mãos, equipamento de protecção individual, isolamentos e gestão de resíduos hospitalares · Enquadramento teórico e demonstração da técnica</t>
        </is>
      </c>
      <c r="J47" s="4" t="inlineStr">
        <is>
          <t>Prof. Manuel Jorge Weber</t>
        </is>
      </c>
      <c r="K47" s="3" t="inlineStr">
        <is>
          <t>TP</t>
        </is>
      </c>
      <c r="L47" s="3" t="n">
        <v>90</v>
      </c>
    </row>
    <row r="48">
      <c r="A48" s="7" t="n">
        <v>46</v>
      </c>
      <c r="B48" s="8" t="inlineStr">
        <is>
          <t>27/10/2026</t>
        </is>
      </c>
      <c r="C48" s="8" t="inlineStr">
        <is>
          <t>Terça-feira</t>
        </is>
      </c>
      <c r="D48" s="7" t="n">
        <v>2</v>
      </c>
      <c r="E48" s="8" t="inlineStr">
        <is>
          <t>09h30–09h45</t>
        </is>
      </c>
      <c r="F48" s="8" t="inlineStr">
        <is>
          <t>Intervalo</t>
        </is>
      </c>
      <c r="G48" s="9" t="inlineStr">
        <is>
          <t>—</t>
        </is>
      </c>
      <c r="H48" s="10" t="inlineStr">
        <is>
          <t>—</t>
        </is>
      </c>
      <c r="I48" s="10" t="inlineStr">
        <is>
          <t>Intervalo regulamentar</t>
        </is>
      </c>
      <c r="J48" s="8" t="inlineStr">
        <is>
          <t>—</t>
        </is>
      </c>
      <c r="K48" s="7" t="inlineStr">
        <is>
          <t>—</t>
        </is>
      </c>
      <c r="L48" s="7" t="n">
        <v>15</v>
      </c>
    </row>
    <row r="49">
      <c r="A49" s="3" t="n">
        <v>47</v>
      </c>
      <c r="B49" s="4" t="inlineStr">
        <is>
          <t>27/10/2026</t>
        </is>
      </c>
      <c r="C49" s="4" t="inlineStr">
        <is>
          <t>Terça-feira</t>
        </is>
      </c>
      <c r="D49" s="3" t="n">
        <v>2</v>
      </c>
      <c r="E49" s="4" t="inlineStr">
        <is>
          <t>09h45–11h15</t>
        </is>
      </c>
      <c r="F49" s="4" t="inlineStr">
        <is>
          <t>2.º tempo lectivo</t>
        </is>
      </c>
      <c r="G49" s="5" t="inlineStr">
        <is>
          <t>EMC</t>
        </is>
      </c>
      <c r="H49" s="6" t="inlineStr">
        <is>
          <t>UII — Biossegurança, prevenção e controlo de infecção e tratamento de feridas</t>
        </is>
      </c>
      <c r="I49" s="6" t="inlineStr">
        <is>
          <t>Higienização das mãos, equipamento de protecção individual, isolamentos e gestão de resíduos hospitalares · Treino prático supervisionado e estudo de caso</t>
        </is>
      </c>
      <c r="J49" s="4" t="inlineStr">
        <is>
          <t>Prof. Manuel Jorge Weber</t>
        </is>
      </c>
      <c r="K49" s="3" t="inlineStr">
        <is>
          <t>P</t>
        </is>
      </c>
      <c r="L49" s="3" t="n">
        <v>90</v>
      </c>
    </row>
    <row r="50">
      <c r="A50" s="11" t="n">
        <v>48</v>
      </c>
      <c r="B50" s="12" t="inlineStr">
        <is>
          <t>27/10/2026</t>
        </is>
      </c>
      <c r="C50" s="12" t="inlineStr">
        <is>
          <t>Terça-feira</t>
        </is>
      </c>
      <c r="D50" s="11" t="n">
        <v>2</v>
      </c>
      <c r="E50" s="12" t="inlineStr">
        <is>
          <t>11h15–12h15</t>
        </is>
      </c>
      <c r="F50" s="12" t="inlineStr">
        <is>
          <t>Bloco complementar</t>
        </is>
      </c>
      <c r="G50" s="13" t="inlineStr">
        <is>
          <t>UEPS</t>
        </is>
      </c>
      <c r="H50" s="14" t="inlineStr">
        <is>
          <t>UII — Via aérea, ventilação e Suporte Básico de Vida com DAE</t>
        </is>
      </c>
      <c r="I50" s="14" t="inlineStr">
        <is>
          <t>Ventilação com insuflador manual e máscara: técnica, selagem e erros mais frequentes · Treino prático supervisionado</t>
        </is>
      </c>
      <c r="J50" s="12" t="inlineStr">
        <is>
          <t>Prof. Manuel Jorge Weber</t>
        </is>
      </c>
      <c r="K50" s="11" t="inlineStr">
        <is>
          <t>P</t>
        </is>
      </c>
      <c r="L50" s="11" t="n">
        <v>60</v>
      </c>
    </row>
    <row r="51">
      <c r="A51" s="23" t="n">
        <v>49</v>
      </c>
      <c r="B51" s="24" t="inlineStr">
        <is>
          <t>29/10/2026</t>
        </is>
      </c>
      <c r="C51" s="24" t="inlineStr">
        <is>
          <t>Quinta-feira</t>
        </is>
      </c>
      <c r="D51" s="23" t="n">
        <v>2</v>
      </c>
      <c r="E51" s="24" t="inlineStr">
        <is>
          <t>08h00–09h30</t>
        </is>
      </c>
      <c r="F51" s="24" t="inlineStr">
        <is>
          <t>1.º tempo</t>
        </is>
      </c>
      <c r="G51" s="25" t="inlineStr">
        <is>
          <t>SEM</t>
        </is>
      </c>
      <c r="H51" s="26" t="inlineStr">
        <is>
          <t>Seminário 2 — Psicologia I</t>
        </is>
      </c>
      <c r="I51" s="26" t="inlineStr">
        <is>
          <t>Módulo 1 — Relação de ajuda; comunicação com o doente e a família</t>
        </is>
      </c>
      <c r="J51" s="24" t="inlineStr">
        <is>
          <t>Formador(a) convidado(a)</t>
        </is>
      </c>
      <c r="K51" s="23" t="inlineStr">
        <is>
          <t>T</t>
        </is>
      </c>
      <c r="L51" s="23" t="n">
        <v>90</v>
      </c>
    </row>
    <row r="52">
      <c r="A52" s="7" t="n">
        <v>50</v>
      </c>
      <c r="B52" s="8" t="inlineStr">
        <is>
          <t>29/10/2026</t>
        </is>
      </c>
      <c r="C52" s="8" t="inlineStr">
        <is>
          <t>Quinta-feira</t>
        </is>
      </c>
      <c r="D52" s="7" t="n">
        <v>2</v>
      </c>
      <c r="E52" s="8" t="inlineStr">
        <is>
          <t>09h30–09h45</t>
        </is>
      </c>
      <c r="F52" s="8" t="inlineStr">
        <is>
          <t>Intervalo</t>
        </is>
      </c>
      <c r="G52" s="9" t="inlineStr">
        <is>
          <t>—</t>
        </is>
      </c>
      <c r="H52" s="10" t="inlineStr">
        <is>
          <t>—</t>
        </is>
      </c>
      <c r="I52" s="10" t="inlineStr">
        <is>
          <t>Intervalo regulamentar</t>
        </is>
      </c>
      <c r="J52" s="8" t="inlineStr">
        <is>
          <t>—</t>
        </is>
      </c>
      <c r="K52" s="7" t="inlineStr">
        <is>
          <t>—</t>
        </is>
      </c>
      <c r="L52" s="7" t="n">
        <v>15</v>
      </c>
    </row>
    <row r="53">
      <c r="A53" s="23" t="n">
        <v>51</v>
      </c>
      <c r="B53" s="24" t="inlineStr">
        <is>
          <t>29/10/2026</t>
        </is>
      </c>
      <c r="C53" s="24" t="inlineStr">
        <is>
          <t>Quinta-feira</t>
        </is>
      </c>
      <c r="D53" s="23" t="n">
        <v>2</v>
      </c>
      <c r="E53" s="24" t="inlineStr">
        <is>
          <t>09h45–11h15</t>
        </is>
      </c>
      <c r="F53" s="24" t="inlineStr">
        <is>
          <t>2.º tempo</t>
        </is>
      </c>
      <c r="G53" s="25" t="inlineStr">
        <is>
          <t>SEM</t>
        </is>
      </c>
      <c r="H53" s="26" t="inlineStr">
        <is>
          <t>Seminário 2 — Psicologia I</t>
        </is>
      </c>
      <c r="I53" s="26" t="inlineStr">
        <is>
          <t>Módulo 2 — Relação de ajuda; comunicação com o doente e a família</t>
        </is>
      </c>
      <c r="J53" s="24" t="inlineStr">
        <is>
          <t>Formador(a) convidado(a)</t>
        </is>
      </c>
      <c r="K53" s="23" t="inlineStr">
        <is>
          <t>T</t>
        </is>
      </c>
      <c r="L53" s="23" t="n">
        <v>90</v>
      </c>
    </row>
    <row r="54">
      <c r="A54" s="23" t="n">
        <v>52</v>
      </c>
      <c r="B54" s="24" t="inlineStr">
        <is>
          <t>29/10/2026</t>
        </is>
      </c>
      <c r="C54" s="24" t="inlineStr">
        <is>
          <t>Quinta-feira</t>
        </is>
      </c>
      <c r="D54" s="23" t="n">
        <v>2</v>
      </c>
      <c r="E54" s="24" t="inlineStr">
        <is>
          <t>11h15–12h15</t>
        </is>
      </c>
      <c r="F54" s="24" t="inlineStr">
        <is>
          <t>Bloco complementar</t>
        </is>
      </c>
      <c r="G54" s="25" t="inlineStr">
        <is>
          <t>SEM</t>
        </is>
      </c>
      <c r="H54" s="26" t="inlineStr">
        <is>
          <t>Seminário 2 — Psicologia I</t>
        </is>
      </c>
      <c r="I54" s="26" t="inlineStr">
        <is>
          <t>Oficina e ficha-síntese de participação</t>
        </is>
      </c>
      <c r="J54" s="24" t="inlineStr">
        <is>
          <t>Formador(a) convidado(a)</t>
        </is>
      </c>
      <c r="K54" s="23" t="inlineStr">
        <is>
          <t>P</t>
        </is>
      </c>
      <c r="L54" s="23" t="n">
        <v>60</v>
      </c>
    </row>
    <row r="55">
      <c r="A55" s="3" t="n">
        <v>53</v>
      </c>
      <c r="B55" s="4" t="inlineStr">
        <is>
          <t>03/11/2026</t>
        </is>
      </c>
      <c r="C55" s="4" t="inlineStr">
        <is>
          <t>Terça-feira</t>
        </is>
      </c>
      <c r="D55" s="3" t="n">
        <v>2</v>
      </c>
      <c r="E55" s="4" t="inlineStr">
        <is>
          <t>08h00–09h30</t>
        </is>
      </c>
      <c r="F55" s="4" t="inlineStr">
        <is>
          <t>1.º tempo lectivo</t>
        </is>
      </c>
      <c r="G55" s="5" t="inlineStr">
        <is>
          <t>EMC</t>
        </is>
      </c>
      <c r="H55" s="6" t="inlineStr">
        <is>
          <t>UII — Biossegurança, prevenção e controlo de infecção e tratamento de feridas</t>
        </is>
      </c>
      <c r="I55" s="6" t="inlineStr">
        <is>
          <t>Assepsia, desinfecção e esterilização; preparação de campo estéril e técnica de penso simples · Demonstração da técnica e critérios de execução</t>
        </is>
      </c>
      <c r="J55" s="4" t="inlineStr">
        <is>
          <t>Prof. Manuel Jorge Weber</t>
        </is>
      </c>
      <c r="K55" s="3" t="inlineStr">
        <is>
          <t>P</t>
        </is>
      </c>
      <c r="L55" s="3" t="n">
        <v>90</v>
      </c>
    </row>
    <row r="56">
      <c r="A56" s="7" t="n">
        <v>54</v>
      </c>
      <c r="B56" s="8" t="inlineStr">
        <is>
          <t>03/11/2026</t>
        </is>
      </c>
      <c r="C56" s="8" t="inlineStr">
        <is>
          <t>Terça-feira</t>
        </is>
      </c>
      <c r="D56" s="7" t="n">
        <v>2</v>
      </c>
      <c r="E56" s="8" t="inlineStr">
        <is>
          <t>09h30–09h45</t>
        </is>
      </c>
      <c r="F56" s="8" t="inlineStr">
        <is>
          <t>Intervalo</t>
        </is>
      </c>
      <c r="G56" s="9" t="inlineStr">
        <is>
          <t>—</t>
        </is>
      </c>
      <c r="H56" s="10" t="inlineStr">
        <is>
          <t>—</t>
        </is>
      </c>
      <c r="I56" s="10" t="inlineStr">
        <is>
          <t>Intervalo regulamentar</t>
        </is>
      </c>
      <c r="J56" s="8" t="inlineStr">
        <is>
          <t>—</t>
        </is>
      </c>
      <c r="K56" s="7" t="inlineStr">
        <is>
          <t>—</t>
        </is>
      </c>
      <c r="L56" s="7" t="n">
        <v>15</v>
      </c>
    </row>
    <row r="57">
      <c r="A57" s="3" t="n">
        <v>55</v>
      </c>
      <c r="B57" s="4" t="inlineStr">
        <is>
          <t>03/11/2026</t>
        </is>
      </c>
      <c r="C57" s="4" t="inlineStr">
        <is>
          <t>Terça-feira</t>
        </is>
      </c>
      <c r="D57" s="3" t="n">
        <v>2</v>
      </c>
      <c r="E57" s="4" t="inlineStr">
        <is>
          <t>09h45–11h15</t>
        </is>
      </c>
      <c r="F57" s="4" t="inlineStr">
        <is>
          <t>2.º tempo lectivo</t>
        </is>
      </c>
      <c r="G57" s="5" t="inlineStr">
        <is>
          <t>EMC</t>
        </is>
      </c>
      <c r="H57" s="6" t="inlineStr">
        <is>
          <t>UII — Biossegurança, prevenção e controlo de infecção e tratamento de feridas</t>
        </is>
      </c>
      <c r="I57" s="6" t="inlineStr">
        <is>
          <t>Assepsia, desinfecção e esterilização; preparação de campo estéril e técnica de penso simples · Treino prático em estações com correcção individual</t>
        </is>
      </c>
      <c r="J57" s="4" t="inlineStr">
        <is>
          <t>Prof. Manuel Jorge Weber</t>
        </is>
      </c>
      <c r="K57" s="3" t="inlineStr">
        <is>
          <t>P</t>
        </is>
      </c>
      <c r="L57" s="3" t="n">
        <v>90</v>
      </c>
    </row>
    <row r="58">
      <c r="A58" s="11" t="n">
        <v>56</v>
      </c>
      <c r="B58" s="12" t="inlineStr">
        <is>
          <t>03/11/2026</t>
        </is>
      </c>
      <c r="C58" s="12" t="inlineStr">
        <is>
          <t>Terça-feira</t>
        </is>
      </c>
      <c r="D58" s="11" t="n">
        <v>2</v>
      </c>
      <c r="E58" s="12" t="inlineStr">
        <is>
          <t>11h15–12h15</t>
        </is>
      </c>
      <c r="F58" s="12" t="inlineStr">
        <is>
          <t>Bloco complementar</t>
        </is>
      </c>
      <c r="G58" s="13" t="inlineStr">
        <is>
          <t>UEPS</t>
        </is>
      </c>
      <c r="H58" s="14" t="inlineStr">
        <is>
          <t>UII — Via aérea, ventilação e Suporte Básico de Vida com DAE</t>
        </is>
      </c>
      <c r="I58" s="14" t="inlineStr">
        <is>
          <t>Paragem cardiorrespiratória: reconhecimento e cadeia de sobrevivência · Exposição e discussão dirigida</t>
        </is>
      </c>
      <c r="J58" s="12" t="inlineStr">
        <is>
          <t>Prof. Manuel Jorge Weber</t>
        </is>
      </c>
      <c r="K58" s="11" t="inlineStr">
        <is>
          <t>T</t>
        </is>
      </c>
      <c r="L58" s="11" t="n">
        <v>60</v>
      </c>
    </row>
    <row r="59">
      <c r="A59" s="19" t="n">
        <v>57</v>
      </c>
      <c r="B59" s="20" t="inlineStr">
        <is>
          <t>05/11/2026</t>
        </is>
      </c>
      <c r="C59" s="20" t="inlineStr">
        <is>
          <t>Quinta-feira</t>
        </is>
      </c>
      <c r="D59" s="19" t="n">
        <v>2</v>
      </c>
      <c r="E59" s="20" t="inlineStr">
        <is>
          <t>08h00–09h30</t>
        </is>
      </c>
      <c r="F59" s="20" t="inlineStr">
        <is>
          <t>1.º tempo lectivo</t>
        </is>
      </c>
      <c r="G59" s="21" t="inlineStr">
        <is>
          <t>EPSC</t>
        </is>
      </c>
      <c r="H59" s="22" t="inlineStr">
        <is>
          <t>UII — Nutrição infantil e malnutrição aguda</t>
        </is>
      </c>
      <c r="I59" s="22" t="inlineStr">
        <is>
          <t>Classificação e cuidados na malnutrição aguda grave e moderada; alimentos terapêuticos prontos a usar · Enquadramento teórico e demonstração da técnica</t>
        </is>
      </c>
      <c r="J59" s="20" t="inlineStr">
        <is>
          <t>Prof. Eduardo David</t>
        </is>
      </c>
      <c r="K59" s="19" t="inlineStr">
        <is>
          <t>TP</t>
        </is>
      </c>
      <c r="L59" s="19" t="n">
        <v>90</v>
      </c>
    </row>
    <row r="60">
      <c r="A60" s="7" t="n">
        <v>58</v>
      </c>
      <c r="B60" s="8" t="inlineStr">
        <is>
          <t>05/11/2026</t>
        </is>
      </c>
      <c r="C60" s="8" t="inlineStr">
        <is>
          <t>Quinta-feira</t>
        </is>
      </c>
      <c r="D60" s="7" t="n">
        <v>2</v>
      </c>
      <c r="E60" s="8" t="inlineStr">
        <is>
          <t>09h30–09h45</t>
        </is>
      </c>
      <c r="F60" s="8" t="inlineStr">
        <is>
          <t>Intervalo</t>
        </is>
      </c>
      <c r="G60" s="9" t="inlineStr">
        <is>
          <t>—</t>
        </is>
      </c>
      <c r="H60" s="10" t="inlineStr">
        <is>
          <t>—</t>
        </is>
      </c>
      <c r="I60" s="10" t="inlineStr">
        <is>
          <t>Intervalo regulamentar</t>
        </is>
      </c>
      <c r="J60" s="8" t="inlineStr">
        <is>
          <t>—</t>
        </is>
      </c>
      <c r="K60" s="7" t="inlineStr">
        <is>
          <t>—</t>
        </is>
      </c>
      <c r="L60" s="7" t="n">
        <v>15</v>
      </c>
    </row>
    <row r="61">
      <c r="A61" s="19" t="n">
        <v>59</v>
      </c>
      <c r="B61" s="20" t="inlineStr">
        <is>
          <t>05/11/2026</t>
        </is>
      </c>
      <c r="C61" s="20" t="inlineStr">
        <is>
          <t>Quinta-feira</t>
        </is>
      </c>
      <c r="D61" s="19" t="n">
        <v>2</v>
      </c>
      <c r="E61" s="20" t="inlineStr">
        <is>
          <t>09h45–11h15</t>
        </is>
      </c>
      <c r="F61" s="20" t="inlineStr">
        <is>
          <t>2.º tempo lectivo</t>
        </is>
      </c>
      <c r="G61" s="21" t="inlineStr">
        <is>
          <t>EPSC</t>
        </is>
      </c>
      <c r="H61" s="22" t="inlineStr">
        <is>
          <t>UII — Nutrição infantil e malnutrição aguda</t>
        </is>
      </c>
      <c r="I61" s="22" t="inlineStr">
        <is>
          <t>Classificação e cuidados na malnutrição aguda grave e moderada; alimentos terapêuticos prontos a usar · Treino prático supervisionado e estudo de caso</t>
        </is>
      </c>
      <c r="J61" s="20" t="inlineStr">
        <is>
          <t>Prof. Eduardo David</t>
        </is>
      </c>
      <c r="K61" s="19" t="inlineStr">
        <is>
          <t>P</t>
        </is>
      </c>
      <c r="L61" s="19" t="n">
        <v>90</v>
      </c>
    </row>
    <row r="62">
      <c r="A62" s="15" t="n">
        <v>60</v>
      </c>
      <c r="B62" s="16" t="inlineStr">
        <is>
          <t>05/11/2026</t>
        </is>
      </c>
      <c r="C62" s="16" t="inlineStr">
        <is>
          <t>Quinta-feira</t>
        </is>
      </c>
      <c r="D62" s="15" t="n">
        <v>2</v>
      </c>
      <c r="E62" s="16" t="inlineStr">
        <is>
          <t>11h15–12h15</t>
        </is>
      </c>
      <c r="F62" s="16" t="inlineStr">
        <is>
          <t>Bloco complementar</t>
        </is>
      </c>
      <c r="G62" s="17" t="inlineStr">
        <is>
          <t>SMON</t>
        </is>
      </c>
      <c r="H62" s="18" t="inlineStr">
        <is>
          <t>UII — Vigilância pré-natal</t>
        </is>
      </c>
      <c r="I62" s="18" t="inlineStr">
        <is>
          <t>Nutrição, suplementação com ferro e ácido fólico, vacinação antitetânica e educação para a saúde na gravidez · Exposição e discussão dirigida</t>
        </is>
      </c>
      <c r="J62" s="16" t="inlineStr">
        <is>
          <t>Prof. Eduardo David</t>
        </is>
      </c>
      <c r="K62" s="15" t="inlineStr">
        <is>
          <t>T</t>
        </is>
      </c>
      <c r="L62" s="15" t="n">
        <v>60</v>
      </c>
    </row>
    <row r="63">
      <c r="A63" s="11" t="n">
        <v>61</v>
      </c>
      <c r="B63" s="12" t="inlineStr">
        <is>
          <t>10/11/2026</t>
        </is>
      </c>
      <c r="C63" s="12" t="inlineStr">
        <is>
          <t>Terça-feira</t>
        </is>
      </c>
      <c r="D63" s="11" t="n">
        <v>2</v>
      </c>
      <c r="E63" s="12" t="inlineStr">
        <is>
          <t>08h00–09h30</t>
        </is>
      </c>
      <c r="F63" s="12" t="inlineStr">
        <is>
          <t>1.º tempo lectivo</t>
        </is>
      </c>
      <c r="G63" s="13" t="inlineStr">
        <is>
          <t>UEPS</t>
        </is>
      </c>
      <c r="H63" s="14" t="inlineStr">
        <is>
          <t>UII — Via aérea, ventilação e Suporte Básico de Vida com DAE</t>
        </is>
      </c>
      <c r="I63" s="14" t="inlineStr">
        <is>
          <t>Suporte Básico de Vida no adulto com desfibrilhador automático externo: treino intensivo em manequim · Demonstração da técnica e critérios de execução</t>
        </is>
      </c>
      <c r="J63" s="12" t="inlineStr">
        <is>
          <t>Prof. Manuel Jorge Weber</t>
        </is>
      </c>
      <c r="K63" s="11" t="inlineStr">
        <is>
          <t>P</t>
        </is>
      </c>
      <c r="L63" s="11" t="n">
        <v>90</v>
      </c>
    </row>
    <row r="64">
      <c r="A64" s="7" t="n">
        <v>62</v>
      </c>
      <c r="B64" s="8" t="inlineStr">
        <is>
          <t>10/11/2026</t>
        </is>
      </c>
      <c r="C64" s="8" t="inlineStr">
        <is>
          <t>Terça-feira</t>
        </is>
      </c>
      <c r="D64" s="7" t="n">
        <v>2</v>
      </c>
      <c r="E64" s="8" t="inlineStr">
        <is>
          <t>09h30–09h45</t>
        </is>
      </c>
      <c r="F64" s="8" t="inlineStr">
        <is>
          <t>Intervalo</t>
        </is>
      </c>
      <c r="G64" s="9" t="inlineStr">
        <is>
          <t>—</t>
        </is>
      </c>
      <c r="H64" s="10" t="inlineStr">
        <is>
          <t>—</t>
        </is>
      </c>
      <c r="I64" s="10" t="inlineStr">
        <is>
          <t>Intervalo regulamentar</t>
        </is>
      </c>
      <c r="J64" s="8" t="inlineStr">
        <is>
          <t>—</t>
        </is>
      </c>
      <c r="K64" s="7" t="inlineStr">
        <is>
          <t>—</t>
        </is>
      </c>
      <c r="L64" s="7" t="n">
        <v>15</v>
      </c>
    </row>
    <row r="65">
      <c r="A65" s="11" t="n">
        <v>63</v>
      </c>
      <c r="B65" s="12" t="inlineStr">
        <is>
          <t>10/11/2026</t>
        </is>
      </c>
      <c r="C65" s="12" t="inlineStr">
        <is>
          <t>Terça-feira</t>
        </is>
      </c>
      <c r="D65" s="11" t="n">
        <v>2</v>
      </c>
      <c r="E65" s="12" t="inlineStr">
        <is>
          <t>09h45–11h15</t>
        </is>
      </c>
      <c r="F65" s="12" t="inlineStr">
        <is>
          <t>2.º tempo lectivo</t>
        </is>
      </c>
      <c r="G65" s="13" t="inlineStr">
        <is>
          <t>UEPS</t>
        </is>
      </c>
      <c r="H65" s="14" t="inlineStr">
        <is>
          <t>UII — Via aérea, ventilação e Suporte Básico de Vida com DAE</t>
        </is>
      </c>
      <c r="I65" s="14" t="inlineStr">
        <is>
          <t>Suporte Básico de Vida no adulto com desfibrilhador automático externo: treino intensivo em manequim · Treino prático em estações com correcção individual</t>
        </is>
      </c>
      <c r="J65" s="12" t="inlineStr">
        <is>
          <t>Prof. Manuel Jorge Weber</t>
        </is>
      </c>
      <c r="K65" s="11" t="inlineStr">
        <is>
          <t>P</t>
        </is>
      </c>
      <c r="L65" s="11" t="n">
        <v>90</v>
      </c>
    </row>
    <row r="66">
      <c r="A66" s="3" t="n">
        <v>64</v>
      </c>
      <c r="B66" s="4" t="inlineStr">
        <is>
          <t>10/11/2026</t>
        </is>
      </c>
      <c r="C66" s="4" t="inlineStr">
        <is>
          <t>Terça-feira</t>
        </is>
      </c>
      <c r="D66" s="3" t="n">
        <v>2</v>
      </c>
      <c r="E66" s="4" t="inlineStr">
        <is>
          <t>11h15–12h15</t>
        </is>
      </c>
      <c r="F66" s="4" t="inlineStr">
        <is>
          <t>Bloco complementar</t>
        </is>
      </c>
      <c r="G66" s="5" t="inlineStr">
        <is>
          <t>EMC</t>
        </is>
      </c>
      <c r="H66" s="6" t="inlineStr">
        <is>
          <t>UII — Biossegurança, prevenção e controlo de infecção e tratamento de feridas</t>
        </is>
      </c>
      <c r="I66" s="6" t="inlineStr">
        <is>
          <t>Feridas: classificação, fases de cicatrização e prevenção de úlceras de pressão · Exposição e discussão dirigida</t>
        </is>
      </c>
      <c r="J66" s="4" t="inlineStr">
        <is>
          <t>Prof. Manuel Jorge Weber</t>
        </is>
      </c>
      <c r="K66" s="3" t="inlineStr">
        <is>
          <t>T</t>
        </is>
      </c>
      <c r="L66" s="3" t="n">
        <v>60</v>
      </c>
    </row>
    <row r="67">
      <c r="A67" s="15" t="n">
        <v>65</v>
      </c>
      <c r="B67" s="16" t="inlineStr">
        <is>
          <t>12/11/2026</t>
        </is>
      </c>
      <c r="C67" s="16" t="inlineStr">
        <is>
          <t>Quinta-feira</t>
        </is>
      </c>
      <c r="D67" s="15" t="n">
        <v>2</v>
      </c>
      <c r="E67" s="16" t="inlineStr">
        <is>
          <t>08h00–09h30</t>
        </is>
      </c>
      <c r="F67" s="16" t="inlineStr">
        <is>
          <t>1.º tempo lectivo</t>
        </is>
      </c>
      <c r="G67" s="17" t="inlineStr">
        <is>
          <t>SMON</t>
        </is>
      </c>
      <c r="H67" s="18" t="inlineStr">
        <is>
          <t>UII — Vigilância pré-natal</t>
        </is>
      </c>
      <c r="I67" s="18" t="inlineStr">
        <is>
          <t>Vigilância pré-natal prática: altura uterina, manobras de Leopold e auscultação do foco fetal · Demonstração da técnica e critérios de execução</t>
        </is>
      </c>
      <c r="J67" s="16" t="inlineStr">
        <is>
          <t>Prof. Eduardo David</t>
        </is>
      </c>
      <c r="K67" s="15" t="inlineStr">
        <is>
          <t>P</t>
        </is>
      </c>
      <c r="L67" s="15" t="n">
        <v>90</v>
      </c>
    </row>
    <row r="68">
      <c r="A68" s="7" t="n">
        <v>66</v>
      </c>
      <c r="B68" s="8" t="inlineStr">
        <is>
          <t>12/11/2026</t>
        </is>
      </c>
      <c r="C68" s="8" t="inlineStr">
        <is>
          <t>Quinta-feira</t>
        </is>
      </c>
      <c r="D68" s="7" t="n">
        <v>2</v>
      </c>
      <c r="E68" s="8" t="inlineStr">
        <is>
          <t>09h30–09h45</t>
        </is>
      </c>
      <c r="F68" s="8" t="inlineStr">
        <is>
          <t>Intervalo</t>
        </is>
      </c>
      <c r="G68" s="9" t="inlineStr">
        <is>
          <t>—</t>
        </is>
      </c>
      <c r="H68" s="10" t="inlineStr">
        <is>
          <t>—</t>
        </is>
      </c>
      <c r="I68" s="10" t="inlineStr">
        <is>
          <t>Intervalo regulamentar</t>
        </is>
      </c>
      <c r="J68" s="8" t="inlineStr">
        <is>
          <t>—</t>
        </is>
      </c>
      <c r="K68" s="7" t="inlineStr">
        <is>
          <t>—</t>
        </is>
      </c>
      <c r="L68" s="7" t="n">
        <v>15</v>
      </c>
    </row>
    <row r="69">
      <c r="A69" s="15" t="n">
        <v>67</v>
      </c>
      <c r="B69" s="16" t="inlineStr">
        <is>
          <t>12/11/2026</t>
        </is>
      </c>
      <c r="C69" s="16" t="inlineStr">
        <is>
          <t>Quinta-feira</t>
        </is>
      </c>
      <c r="D69" s="15" t="n">
        <v>2</v>
      </c>
      <c r="E69" s="16" t="inlineStr">
        <is>
          <t>09h45–11h15</t>
        </is>
      </c>
      <c r="F69" s="16" t="inlineStr">
        <is>
          <t>2.º tempo lectivo</t>
        </is>
      </c>
      <c r="G69" s="17" t="inlineStr">
        <is>
          <t>SMON</t>
        </is>
      </c>
      <c r="H69" s="18" t="inlineStr">
        <is>
          <t>UII — Vigilância pré-natal</t>
        </is>
      </c>
      <c r="I69" s="18" t="inlineStr">
        <is>
          <t>Vigilância pré-natal prática: altura uterina, manobras de Leopold e auscultação do foco fetal · Treino prático em estações com correcção individual</t>
        </is>
      </c>
      <c r="J69" s="16" t="inlineStr">
        <is>
          <t>Prof. Eduardo David</t>
        </is>
      </c>
      <c r="K69" s="15" t="inlineStr">
        <is>
          <t>P</t>
        </is>
      </c>
      <c r="L69" s="15" t="n">
        <v>90</v>
      </c>
    </row>
    <row r="70">
      <c r="A70" s="19" t="n">
        <v>68</v>
      </c>
      <c r="B70" s="20" t="inlineStr">
        <is>
          <t>12/11/2026</t>
        </is>
      </c>
      <c r="C70" s="20" t="inlineStr">
        <is>
          <t>Quinta-feira</t>
        </is>
      </c>
      <c r="D70" s="19" t="n">
        <v>2</v>
      </c>
      <c r="E70" s="20" t="inlineStr">
        <is>
          <t>11h15–12h15</t>
        </is>
      </c>
      <c r="F70" s="20" t="inlineStr">
        <is>
          <t>Bloco complementar</t>
        </is>
      </c>
      <c r="G70" s="21" t="inlineStr">
        <is>
          <t>EPSC</t>
        </is>
      </c>
      <c r="H70" s="22" t="inlineStr">
        <is>
          <t>UII — Nutrição infantil e malnutrição aguda</t>
        </is>
      </c>
      <c r="I70" s="22" t="inlineStr">
        <is>
          <t>Educação nutricional da família e vigilância do ganho ponderal · Exposição e discussão dirigida</t>
        </is>
      </c>
      <c r="J70" s="20" t="inlineStr">
        <is>
          <t>Prof. Eduardo David</t>
        </is>
      </c>
      <c r="K70" s="19" t="inlineStr">
        <is>
          <t>T</t>
        </is>
      </c>
      <c r="L70" s="19" t="n">
        <v>60</v>
      </c>
    </row>
    <row r="71">
      <c r="A71" s="3" t="n">
        <v>69</v>
      </c>
      <c r="B71" s="4" t="inlineStr">
        <is>
          <t>17/11/2026</t>
        </is>
      </c>
      <c r="C71" s="4" t="inlineStr">
        <is>
          <t>Terça-feira</t>
        </is>
      </c>
      <c r="D71" s="3" t="n">
        <v>3</v>
      </c>
      <c r="E71" s="4" t="inlineStr">
        <is>
          <t>08h00–09h30</t>
        </is>
      </c>
      <c r="F71" s="4" t="inlineStr">
        <is>
          <t>1.º tempo lectivo</t>
        </is>
      </c>
      <c r="G71" s="5" t="inlineStr">
        <is>
          <t>EMC</t>
        </is>
      </c>
      <c r="H71" s="6" t="inlineStr">
        <is>
          <t>UIII — Enfermagem ao doente respiratório e cardiovascular</t>
        </is>
      </c>
      <c r="I71" s="6" t="inlineStr">
        <is>
          <t>Doente respiratório: pneumonia, asma e DPOC — oxigenoterapia, aerossolterapia e aspiração de secreções · Enquadramento teórico e demonstração da técnica</t>
        </is>
      </c>
      <c r="J71" s="4" t="inlineStr">
        <is>
          <t>Prof. Manuel Jorge Weber</t>
        </is>
      </c>
      <c r="K71" s="3" t="inlineStr">
        <is>
          <t>TP</t>
        </is>
      </c>
      <c r="L71" s="3" t="n">
        <v>90</v>
      </c>
    </row>
    <row r="72">
      <c r="A72" s="7" t="n">
        <v>70</v>
      </c>
      <c r="B72" s="8" t="inlineStr">
        <is>
          <t>17/11/2026</t>
        </is>
      </c>
      <c r="C72" s="8" t="inlineStr">
        <is>
          <t>Terça-feira</t>
        </is>
      </c>
      <c r="D72" s="7" t="n">
        <v>3</v>
      </c>
      <c r="E72" s="8" t="inlineStr">
        <is>
          <t>09h30–09h45</t>
        </is>
      </c>
      <c r="F72" s="8" t="inlineStr">
        <is>
          <t>Intervalo</t>
        </is>
      </c>
      <c r="G72" s="9" t="inlineStr">
        <is>
          <t>—</t>
        </is>
      </c>
      <c r="H72" s="10" t="inlineStr">
        <is>
          <t>—</t>
        </is>
      </c>
      <c r="I72" s="10" t="inlineStr">
        <is>
          <t>Intervalo regulamentar</t>
        </is>
      </c>
      <c r="J72" s="8" t="inlineStr">
        <is>
          <t>—</t>
        </is>
      </c>
      <c r="K72" s="7" t="inlineStr">
        <is>
          <t>—</t>
        </is>
      </c>
      <c r="L72" s="7" t="n">
        <v>15</v>
      </c>
    </row>
    <row r="73">
      <c r="A73" s="3" t="n">
        <v>71</v>
      </c>
      <c r="B73" s="4" t="inlineStr">
        <is>
          <t>17/11/2026</t>
        </is>
      </c>
      <c r="C73" s="4" t="inlineStr">
        <is>
          <t>Terça-feira</t>
        </is>
      </c>
      <c r="D73" s="3" t="n">
        <v>3</v>
      </c>
      <c r="E73" s="4" t="inlineStr">
        <is>
          <t>09h45–11h15</t>
        </is>
      </c>
      <c r="F73" s="4" t="inlineStr">
        <is>
          <t>2.º tempo lectivo</t>
        </is>
      </c>
      <c r="G73" s="5" t="inlineStr">
        <is>
          <t>EMC</t>
        </is>
      </c>
      <c r="H73" s="6" t="inlineStr">
        <is>
          <t>UIII — Enfermagem ao doente respiratório e cardiovascular</t>
        </is>
      </c>
      <c r="I73" s="6" t="inlineStr">
        <is>
          <t>Doente respiratório: pneumonia, asma e DPOC — oxigenoterapia, aerossolterapia e aspiração de secreções · Treino prático supervisionado e estudo de caso</t>
        </is>
      </c>
      <c r="J73" s="4" t="inlineStr">
        <is>
          <t>Prof. Manuel Jorge Weber</t>
        </is>
      </c>
      <c r="K73" s="3" t="inlineStr">
        <is>
          <t>P</t>
        </is>
      </c>
      <c r="L73" s="3" t="n">
        <v>90</v>
      </c>
    </row>
    <row r="74">
      <c r="A74" s="11" t="n">
        <v>72</v>
      </c>
      <c r="B74" s="12" t="inlineStr">
        <is>
          <t>17/11/2026</t>
        </is>
      </c>
      <c r="C74" s="12" t="inlineStr">
        <is>
          <t>Terça-feira</t>
        </is>
      </c>
      <c r="D74" s="11" t="n">
        <v>3</v>
      </c>
      <c r="E74" s="12" t="inlineStr">
        <is>
          <t>11h15–12h15</t>
        </is>
      </c>
      <c r="F74" s="12" t="inlineStr">
        <is>
          <t>Bloco complementar</t>
        </is>
      </c>
      <c r="G74" s="13" t="inlineStr">
        <is>
          <t>UEPS</t>
        </is>
      </c>
      <c r="H74" s="14" t="inlineStr">
        <is>
          <t>UIII — Hemorragia, choque e acessos venosos periféricos</t>
        </is>
      </c>
      <c r="I74" s="14" t="inlineStr">
        <is>
          <t>Hemorragia externa: compressão directa, penso compressivo e torniquete · Treino prático supervisionado</t>
        </is>
      </c>
      <c r="J74" s="12" t="inlineStr">
        <is>
          <t>Prof. Manuel Jorge Weber</t>
        </is>
      </c>
      <c r="K74" s="11" t="inlineStr">
        <is>
          <t>P</t>
        </is>
      </c>
      <c r="L74" s="11" t="n">
        <v>60</v>
      </c>
    </row>
    <row r="75">
      <c r="A75" s="19" t="n">
        <v>73</v>
      </c>
      <c r="B75" s="20" t="inlineStr">
        <is>
          <t>19/11/2026</t>
        </is>
      </c>
      <c r="C75" s="20" t="inlineStr">
        <is>
          <t>Quinta-feira</t>
        </is>
      </c>
      <c r="D75" s="19" t="n">
        <v>3</v>
      </c>
      <c r="E75" s="20" t="inlineStr">
        <is>
          <t>08h00–09h30</t>
        </is>
      </c>
      <c r="F75" s="20" t="inlineStr">
        <is>
          <t>1.º tempo lectivo</t>
        </is>
      </c>
      <c r="G75" s="21" t="inlineStr">
        <is>
          <t>EPSC</t>
        </is>
      </c>
      <c r="H75" s="22" t="inlineStr">
        <is>
          <t>UIII — Abordagem integrada das doenças da infância e imunização</t>
        </is>
      </c>
      <c r="I75" s="22" t="inlineStr">
        <is>
          <t>Abordagem integrada das doenças da infância: avaliar, classificar, tratar e referir · Enquadramento teórico e demonstração da técnica</t>
        </is>
      </c>
      <c r="J75" s="20" t="inlineStr">
        <is>
          <t>Prof. Eduardo David</t>
        </is>
      </c>
      <c r="K75" s="19" t="inlineStr">
        <is>
          <t>TP</t>
        </is>
      </c>
      <c r="L75" s="19" t="n">
        <v>90</v>
      </c>
    </row>
    <row r="76">
      <c r="A76" s="7" t="n">
        <v>74</v>
      </c>
      <c r="B76" s="8" t="inlineStr">
        <is>
          <t>19/11/2026</t>
        </is>
      </c>
      <c r="C76" s="8" t="inlineStr">
        <is>
          <t>Quinta-feira</t>
        </is>
      </c>
      <c r="D76" s="7" t="n">
        <v>3</v>
      </c>
      <c r="E76" s="8" t="inlineStr">
        <is>
          <t>09h30–09h45</t>
        </is>
      </c>
      <c r="F76" s="8" t="inlineStr">
        <is>
          <t>Intervalo</t>
        </is>
      </c>
      <c r="G76" s="9" t="inlineStr">
        <is>
          <t>—</t>
        </is>
      </c>
      <c r="H76" s="10" t="inlineStr">
        <is>
          <t>—</t>
        </is>
      </c>
      <c r="I76" s="10" t="inlineStr">
        <is>
          <t>Intervalo regulamentar</t>
        </is>
      </c>
      <c r="J76" s="8" t="inlineStr">
        <is>
          <t>—</t>
        </is>
      </c>
      <c r="K76" s="7" t="inlineStr">
        <is>
          <t>—</t>
        </is>
      </c>
      <c r="L76" s="7" t="n">
        <v>15</v>
      </c>
    </row>
    <row r="77">
      <c r="A77" s="19" t="n">
        <v>75</v>
      </c>
      <c r="B77" s="20" t="inlineStr">
        <is>
          <t>19/11/2026</t>
        </is>
      </c>
      <c r="C77" s="20" t="inlineStr">
        <is>
          <t>Quinta-feira</t>
        </is>
      </c>
      <c r="D77" s="19" t="n">
        <v>3</v>
      </c>
      <c r="E77" s="20" t="inlineStr">
        <is>
          <t>09h45–11h15</t>
        </is>
      </c>
      <c r="F77" s="20" t="inlineStr">
        <is>
          <t>2.º tempo lectivo</t>
        </is>
      </c>
      <c r="G77" s="21" t="inlineStr">
        <is>
          <t>EPSC</t>
        </is>
      </c>
      <c r="H77" s="22" t="inlineStr">
        <is>
          <t>UIII — Abordagem integrada das doenças da infância e imunização</t>
        </is>
      </c>
      <c r="I77" s="22" t="inlineStr">
        <is>
          <t>Abordagem integrada das doenças da infância: avaliar, classificar, tratar e referir · Treino prático supervisionado e estudo de caso</t>
        </is>
      </c>
      <c r="J77" s="20" t="inlineStr">
        <is>
          <t>Prof. Eduardo David</t>
        </is>
      </c>
      <c r="K77" s="19" t="inlineStr">
        <is>
          <t>P</t>
        </is>
      </c>
      <c r="L77" s="19" t="n">
        <v>90</v>
      </c>
    </row>
    <row r="78">
      <c r="A78" s="15" t="n">
        <v>76</v>
      </c>
      <c r="B78" s="16" t="inlineStr">
        <is>
          <t>19/11/2026</t>
        </is>
      </c>
      <c r="C78" s="16" t="inlineStr">
        <is>
          <t>Quinta-feira</t>
        </is>
      </c>
      <c r="D78" s="15" t="n">
        <v>3</v>
      </c>
      <c r="E78" s="16" t="inlineStr">
        <is>
          <t>11h15–12h15</t>
        </is>
      </c>
      <c r="F78" s="16" t="inlineStr">
        <is>
          <t>Bloco complementar</t>
        </is>
      </c>
      <c r="G78" s="17" t="inlineStr">
        <is>
          <t>SMON</t>
        </is>
      </c>
      <c r="H78" s="18" t="inlineStr">
        <is>
          <t>UIII — Gravidez de risco e prevenção da transmissão vertical</t>
        </is>
      </c>
      <c r="I78" s="18" t="inlineStr">
        <is>
          <t>Anemia na gravidez: rastreio, prevenção e cuidados de enfermagem · Exposição e discussão dirigida</t>
        </is>
      </c>
      <c r="J78" s="16" t="inlineStr">
        <is>
          <t>Prof. Eduardo David</t>
        </is>
      </c>
      <c r="K78" s="15" t="inlineStr">
        <is>
          <t>T</t>
        </is>
      </c>
      <c r="L78" s="15" t="n">
        <v>60</v>
      </c>
    </row>
    <row r="79">
      <c r="A79" s="11" t="n">
        <v>77</v>
      </c>
      <c r="B79" s="12" t="inlineStr">
        <is>
          <t>24/11/2026</t>
        </is>
      </c>
      <c r="C79" s="12" t="inlineStr">
        <is>
          <t>Terça-feira</t>
        </is>
      </c>
      <c r="D79" s="11" t="n">
        <v>3</v>
      </c>
      <c r="E79" s="12" t="inlineStr">
        <is>
          <t>08h00–09h30</t>
        </is>
      </c>
      <c r="F79" s="12" t="inlineStr">
        <is>
          <t>1.º tempo lectivo</t>
        </is>
      </c>
      <c r="G79" s="13" t="inlineStr">
        <is>
          <t>UEPS</t>
        </is>
      </c>
      <c r="H79" s="14" t="inlineStr">
        <is>
          <t>UIII — Hemorragia, choque e acessos venosos periféricos</t>
        </is>
      </c>
      <c r="I79" s="14" t="inlineStr">
        <is>
          <t>Choque: reconhecimento precoce, posicionamento e fluidoterapia inicial; punção venosa periférica em urgência · Enquadramento teórico e demonstração da técnica</t>
        </is>
      </c>
      <c r="J79" s="12" t="inlineStr">
        <is>
          <t>Prof. Manuel Jorge Weber</t>
        </is>
      </c>
      <c r="K79" s="11" t="inlineStr">
        <is>
          <t>TP</t>
        </is>
      </c>
      <c r="L79" s="11" t="n">
        <v>90</v>
      </c>
    </row>
    <row r="80">
      <c r="A80" s="7" t="n">
        <v>78</v>
      </c>
      <c r="B80" s="8" t="inlineStr">
        <is>
          <t>24/11/2026</t>
        </is>
      </c>
      <c r="C80" s="8" t="inlineStr">
        <is>
          <t>Terça-feira</t>
        </is>
      </c>
      <c r="D80" s="7" t="n">
        <v>3</v>
      </c>
      <c r="E80" s="8" t="inlineStr">
        <is>
          <t>09h30–09h45</t>
        </is>
      </c>
      <c r="F80" s="8" t="inlineStr">
        <is>
          <t>Intervalo</t>
        </is>
      </c>
      <c r="G80" s="9" t="inlineStr">
        <is>
          <t>—</t>
        </is>
      </c>
      <c r="H80" s="10" t="inlineStr">
        <is>
          <t>—</t>
        </is>
      </c>
      <c r="I80" s="10" t="inlineStr">
        <is>
          <t>Intervalo regulamentar</t>
        </is>
      </c>
      <c r="J80" s="8" t="inlineStr">
        <is>
          <t>—</t>
        </is>
      </c>
      <c r="K80" s="7" t="inlineStr">
        <is>
          <t>—</t>
        </is>
      </c>
      <c r="L80" s="7" t="n">
        <v>15</v>
      </c>
    </row>
    <row r="81">
      <c r="A81" s="11" t="n">
        <v>79</v>
      </c>
      <c r="B81" s="12" t="inlineStr">
        <is>
          <t>24/11/2026</t>
        </is>
      </c>
      <c r="C81" s="12" t="inlineStr">
        <is>
          <t>Terça-feira</t>
        </is>
      </c>
      <c r="D81" s="11" t="n">
        <v>3</v>
      </c>
      <c r="E81" s="12" t="inlineStr">
        <is>
          <t>09h45–11h15</t>
        </is>
      </c>
      <c r="F81" s="12" t="inlineStr">
        <is>
          <t>2.º tempo lectivo</t>
        </is>
      </c>
      <c r="G81" s="13" t="inlineStr">
        <is>
          <t>UEPS</t>
        </is>
      </c>
      <c r="H81" s="14" t="inlineStr">
        <is>
          <t>UIII — Hemorragia, choque e acessos venosos periféricos</t>
        </is>
      </c>
      <c r="I81" s="14" t="inlineStr">
        <is>
          <t>Choque: reconhecimento precoce, posicionamento e fluidoterapia inicial; punção venosa periférica em urgência · Treino prático supervisionado e estudo de caso</t>
        </is>
      </c>
      <c r="J81" s="12" t="inlineStr">
        <is>
          <t>Prof. Manuel Jorge Weber</t>
        </is>
      </c>
      <c r="K81" s="11" t="inlineStr">
        <is>
          <t>P</t>
        </is>
      </c>
      <c r="L81" s="11" t="n">
        <v>90</v>
      </c>
    </row>
    <row r="82">
      <c r="A82" s="3" t="n">
        <v>80</v>
      </c>
      <c r="B82" s="4" t="inlineStr">
        <is>
          <t>24/11/2026</t>
        </is>
      </c>
      <c r="C82" s="4" t="inlineStr">
        <is>
          <t>Terça-feira</t>
        </is>
      </c>
      <c r="D82" s="3" t="n">
        <v>3</v>
      </c>
      <c r="E82" s="4" t="inlineStr">
        <is>
          <t>11h15–12h15</t>
        </is>
      </c>
      <c r="F82" s="4" t="inlineStr">
        <is>
          <t>Bloco complementar</t>
        </is>
      </c>
      <c r="G82" s="5" t="inlineStr">
        <is>
          <t>EMC</t>
        </is>
      </c>
      <c r="H82" s="6" t="inlineStr">
        <is>
          <t>UIII — Enfermagem ao doente respiratório e cardiovascular</t>
        </is>
      </c>
      <c r="I82" s="6" t="inlineStr">
        <is>
          <t>Teste escrito 1 (Unidades I a III) e correcção comentada · Realização da prova escrita e correcção comentada</t>
        </is>
      </c>
      <c r="J82" s="4" t="inlineStr">
        <is>
          <t>Prof. Manuel Jorge Weber</t>
        </is>
      </c>
      <c r="K82" s="3" t="inlineStr">
        <is>
          <t>Avaliação escrita</t>
        </is>
      </c>
      <c r="L82" s="3" t="n">
        <v>60</v>
      </c>
    </row>
    <row r="83">
      <c r="A83" s="15" t="n">
        <v>81</v>
      </c>
      <c r="B83" s="16" t="inlineStr">
        <is>
          <t>26/11/2026</t>
        </is>
      </c>
      <c r="C83" s="16" t="inlineStr">
        <is>
          <t>Quinta-feira</t>
        </is>
      </c>
      <c r="D83" s="15" t="n">
        <v>3</v>
      </c>
      <c r="E83" s="16" t="inlineStr">
        <is>
          <t>08h00–09h30</t>
        </is>
      </c>
      <c r="F83" s="16" t="inlineStr">
        <is>
          <t>1.º tempo lectivo</t>
        </is>
      </c>
      <c r="G83" s="17" t="inlineStr">
        <is>
          <t>SMON</t>
        </is>
      </c>
      <c r="H83" s="18" t="inlineStr">
        <is>
          <t>UIII — Gravidez de risco e prevenção da transmissão vertical</t>
        </is>
      </c>
      <c r="I83" s="18" t="inlineStr">
        <is>
          <t>Malária na gravidez: tratamento preventivo intermitente, rede mosquiteira e vigilância · Enquadramento teórico e demonstração da técnica</t>
        </is>
      </c>
      <c r="J83" s="16" t="inlineStr">
        <is>
          <t>Prof. Eduardo David</t>
        </is>
      </c>
      <c r="K83" s="15" t="inlineStr">
        <is>
          <t>TP</t>
        </is>
      </c>
      <c r="L83" s="15" t="n">
        <v>90</v>
      </c>
    </row>
    <row r="84">
      <c r="A84" s="7" t="n">
        <v>82</v>
      </c>
      <c r="B84" s="8" t="inlineStr">
        <is>
          <t>26/11/2026</t>
        </is>
      </c>
      <c r="C84" s="8" t="inlineStr">
        <is>
          <t>Quinta-feira</t>
        </is>
      </c>
      <c r="D84" s="7" t="n">
        <v>3</v>
      </c>
      <c r="E84" s="8" t="inlineStr">
        <is>
          <t>09h30–09h45</t>
        </is>
      </c>
      <c r="F84" s="8" t="inlineStr">
        <is>
          <t>Intervalo</t>
        </is>
      </c>
      <c r="G84" s="9" t="inlineStr">
        <is>
          <t>—</t>
        </is>
      </c>
      <c r="H84" s="10" t="inlineStr">
        <is>
          <t>—</t>
        </is>
      </c>
      <c r="I84" s="10" t="inlineStr">
        <is>
          <t>Intervalo regulamentar</t>
        </is>
      </c>
      <c r="J84" s="8" t="inlineStr">
        <is>
          <t>—</t>
        </is>
      </c>
      <c r="K84" s="7" t="inlineStr">
        <is>
          <t>—</t>
        </is>
      </c>
      <c r="L84" s="7" t="n">
        <v>15</v>
      </c>
    </row>
    <row r="85">
      <c r="A85" s="15" t="n">
        <v>83</v>
      </c>
      <c r="B85" s="16" t="inlineStr">
        <is>
          <t>26/11/2026</t>
        </is>
      </c>
      <c r="C85" s="16" t="inlineStr">
        <is>
          <t>Quinta-feira</t>
        </is>
      </c>
      <c r="D85" s="15" t="n">
        <v>3</v>
      </c>
      <c r="E85" s="16" t="inlineStr">
        <is>
          <t>09h45–11h15</t>
        </is>
      </c>
      <c r="F85" s="16" t="inlineStr">
        <is>
          <t>2.º tempo lectivo</t>
        </is>
      </c>
      <c r="G85" s="17" t="inlineStr">
        <is>
          <t>SMON</t>
        </is>
      </c>
      <c r="H85" s="18" t="inlineStr">
        <is>
          <t>UIII — Gravidez de risco e prevenção da transmissão vertical</t>
        </is>
      </c>
      <c r="I85" s="18" t="inlineStr">
        <is>
          <t>Malária na gravidez: tratamento preventivo intermitente, rede mosquiteira e vigilância · Treino prático supervisionado e estudo de caso</t>
        </is>
      </c>
      <c r="J85" s="16" t="inlineStr">
        <is>
          <t>Prof. Eduardo David</t>
        </is>
      </c>
      <c r="K85" s="15" t="inlineStr">
        <is>
          <t>P</t>
        </is>
      </c>
      <c r="L85" s="15" t="n">
        <v>90</v>
      </c>
    </row>
    <row r="86">
      <c r="A86" s="19" t="n">
        <v>84</v>
      </c>
      <c r="B86" s="20" t="inlineStr">
        <is>
          <t>26/11/2026</t>
        </is>
      </c>
      <c r="C86" s="20" t="inlineStr">
        <is>
          <t>Quinta-feira</t>
        </is>
      </c>
      <c r="D86" s="19" t="n">
        <v>3</v>
      </c>
      <c r="E86" s="20" t="inlineStr">
        <is>
          <t>11h15–12h15</t>
        </is>
      </c>
      <c r="F86" s="20" t="inlineStr">
        <is>
          <t>Bloco complementar</t>
        </is>
      </c>
      <c r="G86" s="21" t="inlineStr">
        <is>
          <t>EPSC</t>
        </is>
      </c>
      <c r="H86" s="22" t="inlineStr">
        <is>
          <t>UIII — Abordagem integrada das doenças da infância e imunização</t>
        </is>
      </c>
      <c r="I86" s="22" t="inlineStr">
        <is>
          <t>Teste escrito 1 (Unidades I a III) e correcção comentada · Realização da prova escrita e correcção comentada</t>
        </is>
      </c>
      <c r="J86" s="20" t="inlineStr">
        <is>
          <t>Prof. Eduardo David</t>
        </is>
      </c>
      <c r="K86" s="19" t="inlineStr">
        <is>
          <t>Avaliação escrita</t>
        </is>
      </c>
      <c r="L86" s="19" t="n">
        <v>60</v>
      </c>
    </row>
    <row r="87">
      <c r="A87" s="23" t="n">
        <v>85</v>
      </c>
      <c r="B87" s="24" t="inlineStr">
        <is>
          <t>01/12/2026</t>
        </is>
      </c>
      <c r="C87" s="24" t="inlineStr">
        <is>
          <t>Terça-feira</t>
        </is>
      </c>
      <c r="D87" s="23" t="n">
        <v>3</v>
      </c>
      <c r="E87" s="24" t="inlineStr">
        <is>
          <t>08h00–09h30</t>
        </is>
      </c>
      <c r="F87" s="24" t="inlineStr">
        <is>
          <t>1.º tempo</t>
        </is>
      </c>
      <c r="G87" s="25" t="inlineStr">
        <is>
          <t>SEM</t>
        </is>
      </c>
      <c r="H87" s="26" t="inlineStr">
        <is>
          <t>Seminário 3 — Saúde Colectiva I</t>
        </is>
      </c>
      <c r="I87" s="26" t="inlineStr">
        <is>
          <t>Módulo 1 — Determinantes da saúde; epidemiologia básica; promoção da saúde</t>
        </is>
      </c>
      <c r="J87" s="24" t="inlineStr">
        <is>
          <t>Formador(a) convidado(a)</t>
        </is>
      </c>
      <c r="K87" s="23" t="inlineStr">
        <is>
          <t>T</t>
        </is>
      </c>
      <c r="L87" s="23" t="n">
        <v>90</v>
      </c>
    </row>
    <row r="88">
      <c r="A88" s="7" t="n">
        <v>86</v>
      </c>
      <c r="B88" s="8" t="inlineStr">
        <is>
          <t>01/12/2026</t>
        </is>
      </c>
      <c r="C88" s="8" t="inlineStr">
        <is>
          <t>Terça-feira</t>
        </is>
      </c>
      <c r="D88" s="7" t="n">
        <v>3</v>
      </c>
      <c r="E88" s="8" t="inlineStr">
        <is>
          <t>09h30–09h45</t>
        </is>
      </c>
      <c r="F88" s="8" t="inlineStr">
        <is>
          <t>Intervalo</t>
        </is>
      </c>
      <c r="G88" s="9" t="inlineStr">
        <is>
          <t>—</t>
        </is>
      </c>
      <c r="H88" s="10" t="inlineStr">
        <is>
          <t>—</t>
        </is>
      </c>
      <c r="I88" s="10" t="inlineStr">
        <is>
          <t>Intervalo regulamentar</t>
        </is>
      </c>
      <c r="J88" s="8" t="inlineStr">
        <is>
          <t>—</t>
        </is>
      </c>
      <c r="K88" s="7" t="inlineStr">
        <is>
          <t>—</t>
        </is>
      </c>
      <c r="L88" s="7" t="n">
        <v>15</v>
      </c>
    </row>
    <row r="89">
      <c r="A89" s="23" t="n">
        <v>87</v>
      </c>
      <c r="B89" s="24" t="inlineStr">
        <is>
          <t>01/12/2026</t>
        </is>
      </c>
      <c r="C89" s="24" t="inlineStr">
        <is>
          <t>Terça-feira</t>
        </is>
      </c>
      <c r="D89" s="23" t="n">
        <v>3</v>
      </c>
      <c r="E89" s="24" t="inlineStr">
        <is>
          <t>09h45–11h15</t>
        </is>
      </c>
      <c r="F89" s="24" t="inlineStr">
        <is>
          <t>2.º tempo</t>
        </is>
      </c>
      <c r="G89" s="25" t="inlineStr">
        <is>
          <t>SEM</t>
        </is>
      </c>
      <c r="H89" s="26" t="inlineStr">
        <is>
          <t>Seminário 3 — Saúde Colectiva I</t>
        </is>
      </c>
      <c r="I89" s="26" t="inlineStr">
        <is>
          <t>Módulo 2 — Determinantes da saúde; epidemiologia básica; promoção da saúde</t>
        </is>
      </c>
      <c r="J89" s="24" t="inlineStr">
        <is>
          <t>Formador(a) convidado(a)</t>
        </is>
      </c>
      <c r="K89" s="23" t="inlineStr">
        <is>
          <t>T</t>
        </is>
      </c>
      <c r="L89" s="23" t="n">
        <v>90</v>
      </c>
    </row>
    <row r="90">
      <c r="A90" s="23" t="n">
        <v>88</v>
      </c>
      <c r="B90" s="24" t="inlineStr">
        <is>
          <t>01/12/2026</t>
        </is>
      </c>
      <c r="C90" s="24" t="inlineStr">
        <is>
          <t>Terça-feira</t>
        </is>
      </c>
      <c r="D90" s="23" t="n">
        <v>3</v>
      </c>
      <c r="E90" s="24" t="inlineStr">
        <is>
          <t>11h15–12h15</t>
        </is>
      </c>
      <c r="F90" s="24" t="inlineStr">
        <is>
          <t>Bloco complementar</t>
        </is>
      </c>
      <c r="G90" s="25" t="inlineStr">
        <is>
          <t>SEM</t>
        </is>
      </c>
      <c r="H90" s="26" t="inlineStr">
        <is>
          <t>Seminário 3 — Saúde Colectiva I</t>
        </is>
      </c>
      <c r="I90" s="26" t="inlineStr">
        <is>
          <t>Oficina e ficha-síntese de participação</t>
        </is>
      </c>
      <c r="J90" s="24" t="inlineStr">
        <is>
          <t>Formador(a) convidado(a)</t>
        </is>
      </c>
      <c r="K90" s="23" t="inlineStr">
        <is>
          <t>P</t>
        </is>
      </c>
      <c r="L90" s="23" t="n">
        <v>60</v>
      </c>
    </row>
    <row r="91">
      <c r="A91" s="19" t="n">
        <v>89</v>
      </c>
      <c r="B91" s="20" t="inlineStr">
        <is>
          <t>03/12/2026</t>
        </is>
      </c>
      <c r="C91" s="20" t="inlineStr">
        <is>
          <t>Quinta-feira</t>
        </is>
      </c>
      <c r="D91" s="19" t="n">
        <v>3</v>
      </c>
      <c r="E91" s="20" t="inlineStr">
        <is>
          <t>08h00–09h30</t>
        </is>
      </c>
      <c r="F91" s="20" t="inlineStr">
        <is>
          <t>1.º tempo lectivo</t>
        </is>
      </c>
      <c r="G91" s="21" t="inlineStr">
        <is>
          <t>EPSC</t>
        </is>
      </c>
      <c r="H91" s="22" t="inlineStr">
        <is>
          <t>UIII — Abordagem integrada das doenças da infância e imunização</t>
        </is>
      </c>
      <c r="I91" s="22" t="inlineStr">
        <is>
          <t>Programa Alargado de Vacinação: calendário, cadeia de frio e técnica de administração de vacinas · Demonstração da técnica e critérios de execução</t>
        </is>
      </c>
      <c r="J91" s="20" t="inlineStr">
        <is>
          <t>Prof. Eduardo David</t>
        </is>
      </c>
      <c r="K91" s="19" t="inlineStr">
        <is>
          <t>P</t>
        </is>
      </c>
      <c r="L91" s="19" t="n">
        <v>90</v>
      </c>
    </row>
    <row r="92">
      <c r="A92" s="7" t="n">
        <v>90</v>
      </c>
      <c r="B92" s="8" t="inlineStr">
        <is>
          <t>03/12/2026</t>
        </is>
      </c>
      <c r="C92" s="8" t="inlineStr">
        <is>
          <t>Quinta-feira</t>
        </is>
      </c>
      <c r="D92" s="7" t="n">
        <v>3</v>
      </c>
      <c r="E92" s="8" t="inlineStr">
        <is>
          <t>09h30–09h45</t>
        </is>
      </c>
      <c r="F92" s="8" t="inlineStr">
        <is>
          <t>Intervalo</t>
        </is>
      </c>
      <c r="G92" s="9" t="inlineStr">
        <is>
          <t>—</t>
        </is>
      </c>
      <c r="H92" s="10" t="inlineStr">
        <is>
          <t>—</t>
        </is>
      </c>
      <c r="I92" s="10" t="inlineStr">
        <is>
          <t>Intervalo regulamentar</t>
        </is>
      </c>
      <c r="J92" s="8" t="inlineStr">
        <is>
          <t>—</t>
        </is>
      </c>
      <c r="K92" s="7" t="inlineStr">
        <is>
          <t>—</t>
        </is>
      </c>
      <c r="L92" s="7" t="n">
        <v>15</v>
      </c>
    </row>
    <row r="93">
      <c r="A93" s="19" t="n">
        <v>91</v>
      </c>
      <c r="B93" s="20" t="inlineStr">
        <is>
          <t>03/12/2026</t>
        </is>
      </c>
      <c r="C93" s="20" t="inlineStr">
        <is>
          <t>Quinta-feira</t>
        </is>
      </c>
      <c r="D93" s="19" t="n">
        <v>3</v>
      </c>
      <c r="E93" s="20" t="inlineStr">
        <is>
          <t>09h45–11h15</t>
        </is>
      </c>
      <c r="F93" s="20" t="inlineStr">
        <is>
          <t>2.º tempo lectivo</t>
        </is>
      </c>
      <c r="G93" s="21" t="inlineStr">
        <is>
          <t>EPSC</t>
        </is>
      </c>
      <c r="H93" s="22" t="inlineStr">
        <is>
          <t>UIII — Abordagem integrada das doenças da infância e imunização</t>
        </is>
      </c>
      <c r="I93" s="22" t="inlineStr">
        <is>
          <t>Programa Alargado de Vacinação: calendário, cadeia de frio e técnica de administração de vacinas · Treino prático em estações com correcção individual</t>
        </is>
      </c>
      <c r="J93" s="20" t="inlineStr">
        <is>
          <t>Prof. Eduardo David</t>
        </is>
      </c>
      <c r="K93" s="19" t="inlineStr">
        <is>
          <t>P</t>
        </is>
      </c>
      <c r="L93" s="19" t="n">
        <v>90</v>
      </c>
    </row>
    <row r="94">
      <c r="A94" s="15" t="n">
        <v>92</v>
      </c>
      <c r="B94" s="16" t="inlineStr">
        <is>
          <t>03/12/2026</t>
        </is>
      </c>
      <c r="C94" s="16" t="inlineStr">
        <is>
          <t>Quinta-feira</t>
        </is>
      </c>
      <c r="D94" s="15" t="n">
        <v>3</v>
      </c>
      <c r="E94" s="16" t="inlineStr">
        <is>
          <t>11h15–12h15</t>
        </is>
      </c>
      <c r="F94" s="16" t="inlineStr">
        <is>
          <t>Bloco complementar</t>
        </is>
      </c>
      <c r="G94" s="17" t="inlineStr">
        <is>
          <t>SMON</t>
        </is>
      </c>
      <c r="H94" s="18" t="inlineStr">
        <is>
          <t>UIII — Gravidez de risco e prevenção da transmissão vertical</t>
        </is>
      </c>
      <c r="I94" s="18" t="inlineStr">
        <is>
          <t>Teste escrito 1 (Unidades I a III) e correcção comentada · Realização da prova escrita e correcção comentada</t>
        </is>
      </c>
      <c r="J94" s="16" t="inlineStr">
        <is>
          <t>Prof. Eduardo David</t>
        </is>
      </c>
      <c r="K94" s="15" t="inlineStr">
        <is>
          <t>Avaliação escrita</t>
        </is>
      </c>
      <c r="L94" s="15" t="n">
        <v>60</v>
      </c>
    </row>
    <row r="95">
      <c r="A95" s="3" t="n">
        <v>93</v>
      </c>
      <c r="B95" s="4" t="inlineStr">
        <is>
          <t>08/12/2026</t>
        </is>
      </c>
      <c r="C95" s="4" t="inlineStr">
        <is>
          <t>Terça-feira</t>
        </is>
      </c>
      <c r="D95" s="3" t="n">
        <v>3</v>
      </c>
      <c r="E95" s="4" t="inlineStr">
        <is>
          <t>08h00–09h30</t>
        </is>
      </c>
      <c r="F95" s="4" t="inlineStr">
        <is>
          <t>1.º tempo lectivo</t>
        </is>
      </c>
      <c r="G95" s="5" t="inlineStr">
        <is>
          <t>EMC</t>
        </is>
      </c>
      <c r="H95" s="6" t="inlineStr">
        <is>
          <t>UIII — Enfermagem ao doente respiratório e cardiovascular</t>
        </is>
      </c>
      <c r="I95" s="6" t="inlineStr">
        <is>
          <t>Doente cardiovascular: hipertensão arterial, insuficiência cardíaca e síndromes coronárias agudas — vigilância e balanço hídrico · Enquadramento teórico e demonstração da técnica</t>
        </is>
      </c>
      <c r="J95" s="4" t="inlineStr">
        <is>
          <t>Prof. Manuel Jorge Weber</t>
        </is>
      </c>
      <c r="K95" s="3" t="inlineStr">
        <is>
          <t>TP</t>
        </is>
      </c>
      <c r="L95" s="3" t="n">
        <v>90</v>
      </c>
    </row>
    <row r="96">
      <c r="A96" s="7" t="n">
        <v>94</v>
      </c>
      <c r="B96" s="8" t="inlineStr">
        <is>
          <t>08/12/2026</t>
        </is>
      </c>
      <c r="C96" s="8" t="inlineStr">
        <is>
          <t>Terça-feira</t>
        </is>
      </c>
      <c r="D96" s="7" t="n">
        <v>3</v>
      </c>
      <c r="E96" s="8" t="inlineStr">
        <is>
          <t>09h30–09h45</t>
        </is>
      </c>
      <c r="F96" s="8" t="inlineStr">
        <is>
          <t>Intervalo</t>
        </is>
      </c>
      <c r="G96" s="9" t="inlineStr">
        <is>
          <t>—</t>
        </is>
      </c>
      <c r="H96" s="10" t="inlineStr">
        <is>
          <t>—</t>
        </is>
      </c>
      <c r="I96" s="10" t="inlineStr">
        <is>
          <t>Intervalo regulamentar</t>
        </is>
      </c>
      <c r="J96" s="8" t="inlineStr">
        <is>
          <t>—</t>
        </is>
      </c>
      <c r="K96" s="7" t="inlineStr">
        <is>
          <t>—</t>
        </is>
      </c>
      <c r="L96" s="7" t="n">
        <v>15</v>
      </c>
    </row>
    <row r="97">
      <c r="A97" s="3" t="n">
        <v>95</v>
      </c>
      <c r="B97" s="4" t="inlineStr">
        <is>
          <t>08/12/2026</t>
        </is>
      </c>
      <c r="C97" s="4" t="inlineStr">
        <is>
          <t>Terça-feira</t>
        </is>
      </c>
      <c r="D97" s="3" t="n">
        <v>3</v>
      </c>
      <c r="E97" s="4" t="inlineStr">
        <is>
          <t>09h45–11h15</t>
        </is>
      </c>
      <c r="F97" s="4" t="inlineStr">
        <is>
          <t>2.º tempo lectivo</t>
        </is>
      </c>
      <c r="G97" s="5" t="inlineStr">
        <is>
          <t>EMC</t>
        </is>
      </c>
      <c r="H97" s="6" t="inlineStr">
        <is>
          <t>UIII — Enfermagem ao doente respiratório e cardiovascular</t>
        </is>
      </c>
      <c r="I97" s="6" t="inlineStr">
        <is>
          <t>Doente cardiovascular: hipertensão arterial, insuficiência cardíaca e síndromes coronárias agudas — vigilância e balanço hídrico · Treino prático supervisionado e estudo de caso</t>
        </is>
      </c>
      <c r="J97" s="4" t="inlineStr">
        <is>
          <t>Prof. Manuel Jorge Weber</t>
        </is>
      </c>
      <c r="K97" s="3" t="inlineStr">
        <is>
          <t>P</t>
        </is>
      </c>
      <c r="L97" s="3" t="n">
        <v>90</v>
      </c>
    </row>
    <row r="98">
      <c r="A98" s="11" t="n">
        <v>96</v>
      </c>
      <c r="B98" s="12" t="inlineStr">
        <is>
          <t>08/12/2026</t>
        </is>
      </c>
      <c r="C98" s="12" t="inlineStr">
        <is>
          <t>Terça-feira</t>
        </is>
      </c>
      <c r="D98" s="11" t="n">
        <v>3</v>
      </c>
      <c r="E98" s="12" t="inlineStr">
        <is>
          <t>11h15–12h15</t>
        </is>
      </c>
      <c r="F98" s="12" t="inlineStr">
        <is>
          <t>Bloco complementar</t>
        </is>
      </c>
      <c r="G98" s="13" t="inlineStr">
        <is>
          <t>UEPS</t>
        </is>
      </c>
      <c r="H98" s="14" t="inlineStr">
        <is>
          <t>UIII — Hemorragia, choque e acessos venosos periféricos</t>
        </is>
      </c>
      <c r="I98" s="14" t="inlineStr">
        <is>
          <t>Teste escrito 1 (Unidades I a III) e correcção comentada · Realização da prova escrita e correcção comentada</t>
        </is>
      </c>
      <c r="J98" s="12" t="inlineStr">
        <is>
          <t>Prof. Manuel Jorge Weber</t>
        </is>
      </c>
      <c r="K98" s="11" t="inlineStr">
        <is>
          <t>Avaliação escrita</t>
        </is>
      </c>
      <c r="L98" s="11" t="n">
        <v>60</v>
      </c>
    </row>
    <row r="99">
      <c r="A99" s="15" t="n">
        <v>97</v>
      </c>
      <c r="B99" s="16" t="inlineStr">
        <is>
          <t>10/12/2026</t>
        </is>
      </c>
      <c r="C99" s="16" t="inlineStr">
        <is>
          <t>Quinta-feira</t>
        </is>
      </c>
      <c r="D99" s="15" t="n">
        <v>3</v>
      </c>
      <c r="E99" s="16" t="inlineStr">
        <is>
          <t>08h00–09h30</t>
        </is>
      </c>
      <c r="F99" s="16" t="inlineStr">
        <is>
          <t>1.º tempo lectivo</t>
        </is>
      </c>
      <c r="G99" s="17" t="inlineStr">
        <is>
          <t>SMON</t>
        </is>
      </c>
      <c r="H99" s="18" t="inlineStr">
        <is>
          <t>UIII — Gravidez de risco e prevenção da transmissão vertical</t>
        </is>
      </c>
      <c r="I99" s="18" t="inlineStr">
        <is>
          <t>Sífilis e prevenção da transmissão vertical do VIH e da hepatite B: aconselhamento, testagem e seguimento · Enquadramento teórico e demonstração da técnica</t>
        </is>
      </c>
      <c r="J99" s="16" t="inlineStr">
        <is>
          <t>Prof. Eduardo David</t>
        </is>
      </c>
      <c r="K99" s="15" t="inlineStr">
        <is>
          <t>TP</t>
        </is>
      </c>
      <c r="L99" s="15" t="n">
        <v>90</v>
      </c>
    </row>
    <row r="100">
      <c r="A100" s="7" t="n">
        <v>98</v>
      </c>
      <c r="B100" s="8" t="inlineStr">
        <is>
          <t>10/12/2026</t>
        </is>
      </c>
      <c r="C100" s="8" t="inlineStr">
        <is>
          <t>Quinta-feira</t>
        </is>
      </c>
      <c r="D100" s="7" t="n">
        <v>3</v>
      </c>
      <c r="E100" s="8" t="inlineStr">
        <is>
          <t>09h30–09h45</t>
        </is>
      </c>
      <c r="F100" s="8" t="inlineStr">
        <is>
          <t>Intervalo</t>
        </is>
      </c>
      <c r="G100" s="9" t="inlineStr">
        <is>
          <t>—</t>
        </is>
      </c>
      <c r="H100" s="10" t="inlineStr">
        <is>
          <t>—</t>
        </is>
      </c>
      <c r="I100" s="10" t="inlineStr">
        <is>
          <t>Intervalo regulamentar</t>
        </is>
      </c>
      <c r="J100" s="8" t="inlineStr">
        <is>
          <t>—</t>
        </is>
      </c>
      <c r="K100" s="7" t="inlineStr">
        <is>
          <t>—</t>
        </is>
      </c>
      <c r="L100" s="7" t="n">
        <v>15</v>
      </c>
    </row>
    <row r="101">
      <c r="A101" s="15" t="n">
        <v>99</v>
      </c>
      <c r="B101" s="16" t="inlineStr">
        <is>
          <t>10/12/2026</t>
        </is>
      </c>
      <c r="C101" s="16" t="inlineStr">
        <is>
          <t>Quinta-feira</t>
        </is>
      </c>
      <c r="D101" s="15" t="n">
        <v>3</v>
      </c>
      <c r="E101" s="16" t="inlineStr">
        <is>
          <t>09h45–11h15</t>
        </is>
      </c>
      <c r="F101" s="16" t="inlineStr">
        <is>
          <t>2.º tempo lectivo</t>
        </is>
      </c>
      <c r="G101" s="17" t="inlineStr">
        <is>
          <t>SMON</t>
        </is>
      </c>
      <c r="H101" s="18" t="inlineStr">
        <is>
          <t>UIII — Gravidez de risco e prevenção da transmissão vertical</t>
        </is>
      </c>
      <c r="I101" s="18" t="inlineStr">
        <is>
          <t>Sífilis e prevenção da transmissão vertical do VIH e da hepatite B: aconselhamento, testagem e seguimento · Treino prático supervisionado e estudo de caso</t>
        </is>
      </c>
      <c r="J101" s="16" t="inlineStr">
        <is>
          <t>Prof. Eduardo David</t>
        </is>
      </c>
      <c r="K101" s="15" t="inlineStr">
        <is>
          <t>P</t>
        </is>
      </c>
      <c r="L101" s="15" t="n">
        <v>90</v>
      </c>
    </row>
    <row r="102">
      <c r="A102" s="19" t="n">
        <v>100</v>
      </c>
      <c r="B102" s="20" t="inlineStr">
        <is>
          <t>10/12/2026</t>
        </is>
      </c>
      <c r="C102" s="20" t="inlineStr">
        <is>
          <t>Quinta-feira</t>
        </is>
      </c>
      <c r="D102" s="19" t="n">
        <v>3</v>
      </c>
      <c r="E102" s="20" t="inlineStr">
        <is>
          <t>11h15–12h15</t>
        </is>
      </c>
      <c r="F102" s="20" t="inlineStr">
        <is>
          <t>Bloco complementar</t>
        </is>
      </c>
      <c r="G102" s="21" t="inlineStr">
        <is>
          <t>EPSC</t>
        </is>
      </c>
      <c r="H102" s="22" t="inlineStr">
        <is>
          <t>UIII — Abordagem integrada das doenças da infância e imunização</t>
        </is>
      </c>
      <c r="I102" s="22" t="inlineStr">
        <is>
          <t>Registo vacinal, eventos adversos pós-vacinação e recuperação de faltosos · Exposição e discussão dirigida</t>
        </is>
      </c>
      <c r="J102" s="20" t="inlineStr">
        <is>
          <t>Prof. Eduardo David</t>
        </is>
      </c>
      <c r="K102" s="19" t="inlineStr">
        <is>
          <t>T</t>
        </is>
      </c>
      <c r="L102" s="19" t="n">
        <v>60</v>
      </c>
    </row>
    <row r="103">
      <c r="A103" s="3" t="n">
        <v>101</v>
      </c>
      <c r="B103" s="4" t="inlineStr">
        <is>
          <t>15/12/2026</t>
        </is>
      </c>
      <c r="C103" s="4" t="inlineStr">
        <is>
          <t>Terça-feira</t>
        </is>
      </c>
      <c r="D103" s="3" t="n">
        <v>4</v>
      </c>
      <c r="E103" s="4" t="inlineStr">
        <is>
          <t>08h00–09h30</t>
        </is>
      </c>
      <c r="F103" s="4" t="inlineStr">
        <is>
          <t>1.º tempo lectivo</t>
        </is>
      </c>
      <c r="G103" s="5" t="inlineStr">
        <is>
          <t>EMC</t>
        </is>
      </c>
      <c r="H103" s="6" t="inlineStr">
        <is>
          <t>UIV — Enfermagem ao doente digestivo, renal e endócrino</t>
        </is>
      </c>
      <c r="I103" s="6" t="inlineStr">
        <is>
          <t>Aparelho digestivo: hemorragia digestiva e hepatopatias; colocação e cuidados com sonda nasogástrica · Enquadramento teórico e demonstração da técnica</t>
        </is>
      </c>
      <c r="J103" s="4" t="inlineStr">
        <is>
          <t>Prof. Manuel Jorge Weber</t>
        </is>
      </c>
      <c r="K103" s="3" t="inlineStr">
        <is>
          <t>TP</t>
        </is>
      </c>
      <c r="L103" s="3" t="n">
        <v>90</v>
      </c>
    </row>
    <row r="104">
      <c r="A104" s="7" t="n">
        <v>102</v>
      </c>
      <c r="B104" s="8" t="inlineStr">
        <is>
          <t>15/12/2026</t>
        </is>
      </c>
      <c r="C104" s="8" t="inlineStr">
        <is>
          <t>Terça-feira</t>
        </is>
      </c>
      <c r="D104" s="7" t="n">
        <v>4</v>
      </c>
      <c r="E104" s="8" t="inlineStr">
        <is>
          <t>09h30–09h45</t>
        </is>
      </c>
      <c r="F104" s="8" t="inlineStr">
        <is>
          <t>Intervalo</t>
        </is>
      </c>
      <c r="G104" s="9" t="inlineStr">
        <is>
          <t>—</t>
        </is>
      </c>
      <c r="H104" s="10" t="inlineStr">
        <is>
          <t>—</t>
        </is>
      </c>
      <c r="I104" s="10" t="inlineStr">
        <is>
          <t>Intervalo regulamentar</t>
        </is>
      </c>
      <c r="J104" s="8" t="inlineStr">
        <is>
          <t>—</t>
        </is>
      </c>
      <c r="K104" s="7" t="inlineStr">
        <is>
          <t>—</t>
        </is>
      </c>
      <c r="L104" s="7" t="n">
        <v>15</v>
      </c>
    </row>
    <row r="105">
      <c r="A105" s="3" t="n">
        <v>103</v>
      </c>
      <c r="B105" s="4" t="inlineStr">
        <is>
          <t>15/12/2026</t>
        </is>
      </c>
      <c r="C105" s="4" t="inlineStr">
        <is>
          <t>Terça-feira</t>
        </is>
      </c>
      <c r="D105" s="3" t="n">
        <v>4</v>
      </c>
      <c r="E105" s="4" t="inlineStr">
        <is>
          <t>09h45–11h15</t>
        </is>
      </c>
      <c r="F105" s="4" t="inlineStr">
        <is>
          <t>2.º tempo lectivo</t>
        </is>
      </c>
      <c r="G105" s="5" t="inlineStr">
        <is>
          <t>EMC</t>
        </is>
      </c>
      <c r="H105" s="6" t="inlineStr">
        <is>
          <t>UIV — Enfermagem ao doente digestivo, renal e endócrino</t>
        </is>
      </c>
      <c r="I105" s="6" t="inlineStr">
        <is>
          <t>Aparelho digestivo: hemorragia digestiva e hepatopatias; colocação e cuidados com sonda nasogástrica · Treino prático supervisionado e estudo de caso</t>
        </is>
      </c>
      <c r="J105" s="4" t="inlineStr">
        <is>
          <t>Prof. Manuel Jorge Weber</t>
        </is>
      </c>
      <c r="K105" s="3" t="inlineStr">
        <is>
          <t>P</t>
        </is>
      </c>
      <c r="L105" s="3" t="n">
        <v>90</v>
      </c>
    </row>
    <row r="106">
      <c r="A106" s="11" t="n">
        <v>104</v>
      </c>
      <c r="B106" s="12" t="inlineStr">
        <is>
          <t>15/12/2026</t>
        </is>
      </c>
      <c r="C106" s="12" t="inlineStr">
        <is>
          <t>Terça-feira</t>
        </is>
      </c>
      <c r="D106" s="11" t="n">
        <v>4</v>
      </c>
      <c r="E106" s="12" t="inlineStr">
        <is>
          <t>11h15–12h15</t>
        </is>
      </c>
      <c r="F106" s="12" t="inlineStr">
        <is>
          <t>Bloco complementar</t>
        </is>
      </c>
      <c r="G106" s="13" t="inlineStr">
        <is>
          <t>UEPS</t>
        </is>
      </c>
      <c r="H106" s="14" t="inlineStr">
        <is>
          <t>UIV — Emergência traumatológica</t>
        </is>
      </c>
      <c r="I106" s="14" t="inlineStr">
        <is>
          <t>Avaliação primária e secundária da vítima de trauma; traumatismos por acidente de viação · Demonstração e aplicação prática</t>
        </is>
      </c>
      <c r="J106" s="12" t="inlineStr">
        <is>
          <t>Prof. Manuel Jorge Weber</t>
        </is>
      </c>
      <c r="K106" s="11" t="inlineStr">
        <is>
          <t>TP</t>
        </is>
      </c>
      <c r="L106" s="11" t="n">
        <v>60</v>
      </c>
    </row>
    <row r="107">
      <c r="A107" s="19" t="n">
        <v>105</v>
      </c>
      <c r="B107" s="20" t="inlineStr">
        <is>
          <t>17/12/2026</t>
        </is>
      </c>
      <c r="C107" s="20" t="inlineStr">
        <is>
          <t>Quinta-feira</t>
        </is>
      </c>
      <c r="D107" s="19" t="n">
        <v>4</v>
      </c>
      <c r="E107" s="20" t="inlineStr">
        <is>
          <t>08h00–09h30</t>
        </is>
      </c>
      <c r="F107" s="20" t="inlineStr">
        <is>
          <t>1.º tempo lectivo</t>
        </is>
      </c>
      <c r="G107" s="21" t="inlineStr">
        <is>
          <t>EPSC</t>
        </is>
      </c>
      <c r="H107" s="22" t="inlineStr">
        <is>
          <t>UIV — Doença diarreica e desidratação</t>
        </is>
      </c>
      <c r="I107" s="22" t="inlineStr">
        <is>
          <t>Avaliação do grau de desidratação e planos de tratamento A, B e C; avaliação prática intercalar · 1.ª série de estações práticas</t>
        </is>
      </c>
      <c r="J107" s="20" t="inlineStr">
        <is>
          <t>Prof. Eduardo David</t>
        </is>
      </c>
      <c r="K107" s="19" t="inlineStr">
        <is>
          <t>Avaliação prática</t>
        </is>
      </c>
      <c r="L107" s="19" t="n">
        <v>90</v>
      </c>
    </row>
    <row r="108">
      <c r="A108" s="7" t="n">
        <v>106</v>
      </c>
      <c r="B108" s="8" t="inlineStr">
        <is>
          <t>17/12/2026</t>
        </is>
      </c>
      <c r="C108" s="8" t="inlineStr">
        <is>
          <t>Quinta-feira</t>
        </is>
      </c>
      <c r="D108" s="7" t="n">
        <v>4</v>
      </c>
      <c r="E108" s="8" t="inlineStr">
        <is>
          <t>09h30–09h45</t>
        </is>
      </c>
      <c r="F108" s="8" t="inlineStr">
        <is>
          <t>Intervalo</t>
        </is>
      </c>
      <c r="G108" s="9" t="inlineStr">
        <is>
          <t>—</t>
        </is>
      </c>
      <c r="H108" s="10" t="inlineStr">
        <is>
          <t>—</t>
        </is>
      </c>
      <c r="I108" s="10" t="inlineStr">
        <is>
          <t>Intervalo regulamentar</t>
        </is>
      </c>
      <c r="J108" s="8" t="inlineStr">
        <is>
          <t>—</t>
        </is>
      </c>
      <c r="K108" s="7" t="inlineStr">
        <is>
          <t>—</t>
        </is>
      </c>
      <c r="L108" s="7" t="n">
        <v>15</v>
      </c>
    </row>
    <row r="109">
      <c r="A109" s="19" t="n">
        <v>107</v>
      </c>
      <c r="B109" s="20" t="inlineStr">
        <is>
          <t>17/12/2026</t>
        </is>
      </c>
      <c r="C109" s="20" t="inlineStr">
        <is>
          <t>Quinta-feira</t>
        </is>
      </c>
      <c r="D109" s="19" t="n">
        <v>4</v>
      </c>
      <c r="E109" s="20" t="inlineStr">
        <is>
          <t>09h45–11h15</t>
        </is>
      </c>
      <c r="F109" s="20" t="inlineStr">
        <is>
          <t>2.º tempo lectivo</t>
        </is>
      </c>
      <c r="G109" s="21" t="inlineStr">
        <is>
          <t>EPSC</t>
        </is>
      </c>
      <c r="H109" s="22" t="inlineStr">
        <is>
          <t>UIV — Doença diarreica e desidratação</t>
        </is>
      </c>
      <c r="I109" s="22" t="inlineStr">
        <is>
          <t>Avaliação do grau de desidratação e planos de tratamento A, B e C; avaliação prática intercalar · 2.ª série de estações e devolução dos resultados</t>
        </is>
      </c>
      <c r="J109" s="20" t="inlineStr">
        <is>
          <t>Prof. Eduardo David</t>
        </is>
      </c>
      <c r="K109" s="19" t="inlineStr">
        <is>
          <t>Avaliação prática</t>
        </is>
      </c>
      <c r="L109" s="19" t="n">
        <v>90</v>
      </c>
    </row>
    <row r="110">
      <c r="A110" s="15" t="n">
        <v>108</v>
      </c>
      <c r="B110" s="16" t="inlineStr">
        <is>
          <t>17/12/2026</t>
        </is>
      </c>
      <c r="C110" s="16" t="inlineStr">
        <is>
          <t>Quinta-feira</t>
        </is>
      </c>
      <c r="D110" s="15" t="n">
        <v>4</v>
      </c>
      <c r="E110" s="16" t="inlineStr">
        <is>
          <t>11h15–12h15</t>
        </is>
      </c>
      <c r="F110" s="16" t="inlineStr">
        <is>
          <t>Bloco complementar</t>
        </is>
      </c>
      <c r="G110" s="17" t="inlineStr">
        <is>
          <t>SMON</t>
        </is>
      </c>
      <c r="H110" s="18" t="inlineStr">
        <is>
          <t>UIV — Trabalho de parto e partograma</t>
        </is>
      </c>
      <c r="I110" s="18" t="inlineStr">
        <is>
          <t>Trabalho de parto: fisiologia, períodos, mecanismo do parto e admissão da parturiente · Exposição e discussão dirigida</t>
        </is>
      </c>
      <c r="J110" s="16" t="inlineStr">
        <is>
          <t>Prof. Eduardo David</t>
        </is>
      </c>
      <c r="K110" s="15" t="inlineStr">
        <is>
          <t>T</t>
        </is>
      </c>
      <c r="L110" s="15" t="n">
        <v>60</v>
      </c>
    </row>
    <row r="111">
      <c r="A111" s="11" t="n">
        <v>109</v>
      </c>
      <c r="B111" s="12" t="inlineStr">
        <is>
          <t>22/12/2026</t>
        </is>
      </c>
      <c r="C111" s="12" t="inlineStr">
        <is>
          <t>Terça-feira</t>
        </is>
      </c>
      <c r="D111" s="11" t="n">
        <v>4</v>
      </c>
      <c r="E111" s="12" t="inlineStr">
        <is>
          <t>08h00–09h30</t>
        </is>
      </c>
      <c r="F111" s="12" t="inlineStr">
        <is>
          <t>1.º tempo lectivo</t>
        </is>
      </c>
      <c r="G111" s="13" t="inlineStr">
        <is>
          <t>UEPS</t>
        </is>
      </c>
      <c r="H111" s="14" t="inlineStr">
        <is>
          <t>UIV — Emergência traumatológica</t>
        </is>
      </c>
      <c r="I111" s="14" t="inlineStr">
        <is>
          <t>Imobilização de fracturas com talas e ligaduras; estabilização cervical e rolamento em bloco; avaliação prática intercalar · 1.ª série de estações práticas</t>
        </is>
      </c>
      <c r="J111" s="12" t="inlineStr">
        <is>
          <t>Prof. Manuel Jorge Weber</t>
        </is>
      </c>
      <c r="K111" s="11" t="inlineStr">
        <is>
          <t>Avaliação prática</t>
        </is>
      </c>
      <c r="L111" s="11" t="n">
        <v>90</v>
      </c>
    </row>
    <row r="112">
      <c r="A112" s="7" t="n">
        <v>110</v>
      </c>
      <c r="B112" s="8" t="inlineStr">
        <is>
          <t>22/12/2026</t>
        </is>
      </c>
      <c r="C112" s="8" t="inlineStr">
        <is>
          <t>Terça-feira</t>
        </is>
      </c>
      <c r="D112" s="7" t="n">
        <v>4</v>
      </c>
      <c r="E112" s="8" t="inlineStr">
        <is>
          <t>09h30–09h45</t>
        </is>
      </c>
      <c r="F112" s="8" t="inlineStr">
        <is>
          <t>Intervalo</t>
        </is>
      </c>
      <c r="G112" s="9" t="inlineStr">
        <is>
          <t>—</t>
        </is>
      </c>
      <c r="H112" s="10" t="inlineStr">
        <is>
          <t>—</t>
        </is>
      </c>
      <c r="I112" s="10" t="inlineStr">
        <is>
          <t>Intervalo regulamentar</t>
        </is>
      </c>
      <c r="J112" s="8" t="inlineStr">
        <is>
          <t>—</t>
        </is>
      </c>
      <c r="K112" s="7" t="inlineStr">
        <is>
          <t>—</t>
        </is>
      </c>
      <c r="L112" s="7" t="n">
        <v>15</v>
      </c>
    </row>
    <row r="113">
      <c r="A113" s="11" t="n">
        <v>111</v>
      </c>
      <c r="B113" s="12" t="inlineStr">
        <is>
          <t>22/12/2026</t>
        </is>
      </c>
      <c r="C113" s="12" t="inlineStr">
        <is>
          <t>Terça-feira</t>
        </is>
      </c>
      <c r="D113" s="11" t="n">
        <v>4</v>
      </c>
      <c r="E113" s="12" t="inlineStr">
        <is>
          <t>09h45–11h15</t>
        </is>
      </c>
      <c r="F113" s="12" t="inlineStr">
        <is>
          <t>2.º tempo lectivo</t>
        </is>
      </c>
      <c r="G113" s="13" t="inlineStr">
        <is>
          <t>UEPS</t>
        </is>
      </c>
      <c r="H113" s="14" t="inlineStr">
        <is>
          <t>UIV — Emergência traumatológica</t>
        </is>
      </c>
      <c r="I113" s="14" t="inlineStr">
        <is>
          <t>Imobilização de fracturas com talas e ligaduras; estabilização cervical e rolamento em bloco; avaliação prática intercalar · 2.ª série de estações e devolução dos resultados</t>
        </is>
      </c>
      <c r="J113" s="12" t="inlineStr">
        <is>
          <t>Prof. Manuel Jorge Weber</t>
        </is>
      </c>
      <c r="K113" s="11" t="inlineStr">
        <is>
          <t>Avaliação prática</t>
        </is>
      </c>
      <c r="L113" s="11" t="n">
        <v>90</v>
      </c>
    </row>
    <row r="114">
      <c r="A114" s="3" t="n">
        <v>112</v>
      </c>
      <c r="B114" s="4" t="inlineStr">
        <is>
          <t>22/12/2026</t>
        </is>
      </c>
      <c r="C114" s="4" t="inlineStr">
        <is>
          <t>Terça-feira</t>
        </is>
      </c>
      <c r="D114" s="3" t="n">
        <v>4</v>
      </c>
      <c r="E114" s="4" t="inlineStr">
        <is>
          <t>11h15–12h15</t>
        </is>
      </c>
      <c r="F114" s="4" t="inlineStr">
        <is>
          <t>Bloco complementar</t>
        </is>
      </c>
      <c r="G114" s="5" t="inlineStr">
        <is>
          <t>EMC</t>
        </is>
      </c>
      <c r="H114" s="6" t="inlineStr">
        <is>
          <t>UIV — Enfermagem ao doente digestivo, renal e endócrino</t>
        </is>
      </c>
      <c r="I114" s="6" t="inlineStr">
        <is>
          <t>Insuficiência renal, balanço hídrico e cateterismo vesical · Treino prático supervisionado</t>
        </is>
      </c>
      <c r="J114" s="4" t="inlineStr">
        <is>
          <t>Prof. Manuel Jorge Weber</t>
        </is>
      </c>
      <c r="K114" s="3" t="inlineStr">
        <is>
          <t>P</t>
        </is>
      </c>
      <c r="L114" s="3" t="n">
        <v>60</v>
      </c>
    </row>
    <row r="115">
      <c r="A115" s="23" t="n">
        <v>113</v>
      </c>
      <c r="B115" s="24" t="inlineStr">
        <is>
          <t>07/01/2027</t>
        </is>
      </c>
      <c r="C115" s="24" t="inlineStr">
        <is>
          <t>Quinta-feira</t>
        </is>
      </c>
      <c r="D115" s="23" t="n">
        <v>4</v>
      </c>
      <c r="E115" s="24" t="inlineStr">
        <is>
          <t>08h00–09h30</t>
        </is>
      </c>
      <c r="F115" s="24" t="inlineStr">
        <is>
          <t>1.º tempo</t>
        </is>
      </c>
      <c r="G115" s="25" t="inlineStr">
        <is>
          <t>SEM</t>
        </is>
      </c>
      <c r="H115" s="26" t="inlineStr">
        <is>
          <t>Seminário 4 — Saúde Mental I</t>
        </is>
      </c>
      <c r="I115" s="26" t="inlineStr">
        <is>
          <t>Módulo 1 — Conceitos, estigma, sinais de alerta e primeiros socorros psicológicos</t>
        </is>
      </c>
      <c r="J115" s="24" t="inlineStr">
        <is>
          <t>Formador(a) convidado(a)</t>
        </is>
      </c>
      <c r="K115" s="23" t="inlineStr">
        <is>
          <t>T</t>
        </is>
      </c>
      <c r="L115" s="23" t="n">
        <v>90</v>
      </c>
    </row>
    <row r="116">
      <c r="A116" s="7" t="n">
        <v>114</v>
      </c>
      <c r="B116" s="8" t="inlineStr">
        <is>
          <t>07/01/2027</t>
        </is>
      </c>
      <c r="C116" s="8" t="inlineStr">
        <is>
          <t>Quinta-feira</t>
        </is>
      </c>
      <c r="D116" s="7" t="n">
        <v>4</v>
      </c>
      <c r="E116" s="8" t="inlineStr">
        <is>
          <t>09h30–09h45</t>
        </is>
      </c>
      <c r="F116" s="8" t="inlineStr">
        <is>
          <t>Intervalo</t>
        </is>
      </c>
      <c r="G116" s="9" t="inlineStr">
        <is>
          <t>—</t>
        </is>
      </c>
      <c r="H116" s="10" t="inlineStr">
        <is>
          <t>—</t>
        </is>
      </c>
      <c r="I116" s="10" t="inlineStr">
        <is>
          <t>Intervalo regulamentar</t>
        </is>
      </c>
      <c r="J116" s="8" t="inlineStr">
        <is>
          <t>—</t>
        </is>
      </c>
      <c r="K116" s="7" t="inlineStr">
        <is>
          <t>—</t>
        </is>
      </c>
      <c r="L116" s="7" t="n">
        <v>15</v>
      </c>
    </row>
    <row r="117">
      <c r="A117" s="23" t="n">
        <v>115</v>
      </c>
      <c r="B117" s="24" t="inlineStr">
        <is>
          <t>07/01/2027</t>
        </is>
      </c>
      <c r="C117" s="24" t="inlineStr">
        <is>
          <t>Quinta-feira</t>
        </is>
      </c>
      <c r="D117" s="23" t="n">
        <v>4</v>
      </c>
      <c r="E117" s="24" t="inlineStr">
        <is>
          <t>09h45–11h15</t>
        </is>
      </c>
      <c r="F117" s="24" t="inlineStr">
        <is>
          <t>2.º tempo</t>
        </is>
      </c>
      <c r="G117" s="25" t="inlineStr">
        <is>
          <t>SEM</t>
        </is>
      </c>
      <c r="H117" s="26" t="inlineStr">
        <is>
          <t>Seminário 4 — Saúde Mental I</t>
        </is>
      </c>
      <c r="I117" s="26" t="inlineStr">
        <is>
          <t>Módulo 2 — Conceitos, estigma, sinais de alerta e primeiros socorros psicológicos</t>
        </is>
      </c>
      <c r="J117" s="24" t="inlineStr">
        <is>
          <t>Formador(a) convidado(a)</t>
        </is>
      </c>
      <c r="K117" s="23" t="inlineStr">
        <is>
          <t>T</t>
        </is>
      </c>
      <c r="L117" s="23" t="n">
        <v>90</v>
      </c>
    </row>
    <row r="118">
      <c r="A118" s="23" t="n">
        <v>116</v>
      </c>
      <c r="B118" s="24" t="inlineStr">
        <is>
          <t>07/01/2027</t>
        </is>
      </c>
      <c r="C118" s="24" t="inlineStr">
        <is>
          <t>Quinta-feira</t>
        </is>
      </c>
      <c r="D118" s="23" t="n">
        <v>4</v>
      </c>
      <c r="E118" s="24" t="inlineStr">
        <is>
          <t>11h15–12h15</t>
        </is>
      </c>
      <c r="F118" s="24" t="inlineStr">
        <is>
          <t>Bloco complementar</t>
        </is>
      </c>
      <c r="G118" s="25" t="inlineStr">
        <is>
          <t>SEM</t>
        </is>
      </c>
      <c r="H118" s="26" t="inlineStr">
        <is>
          <t>Seminário 4 — Saúde Mental I</t>
        </is>
      </c>
      <c r="I118" s="26" t="inlineStr">
        <is>
          <t>Oficina e ficha-síntese de participação</t>
        </is>
      </c>
      <c r="J118" s="24" t="inlineStr">
        <is>
          <t>Formador(a) convidado(a)</t>
        </is>
      </c>
      <c r="K118" s="23" t="inlineStr">
        <is>
          <t>P</t>
        </is>
      </c>
      <c r="L118" s="23" t="n">
        <v>60</v>
      </c>
    </row>
    <row r="119">
      <c r="A119" s="3" t="n">
        <v>117</v>
      </c>
      <c r="B119" s="4" t="inlineStr">
        <is>
          <t>12/01/2027</t>
        </is>
      </c>
      <c r="C119" s="4" t="inlineStr">
        <is>
          <t>Terça-feira</t>
        </is>
      </c>
      <c r="D119" s="3" t="n">
        <v>4</v>
      </c>
      <c r="E119" s="4" t="inlineStr">
        <is>
          <t>08h00–09h30</t>
        </is>
      </c>
      <c r="F119" s="4" t="inlineStr">
        <is>
          <t>1.º tempo lectivo</t>
        </is>
      </c>
      <c r="G119" s="5" t="inlineStr">
        <is>
          <t>EMC</t>
        </is>
      </c>
      <c r="H119" s="6" t="inlineStr">
        <is>
          <t>UIV — Enfermagem ao doente digestivo, renal e endócrino</t>
        </is>
      </c>
      <c r="I119" s="6" t="inlineStr">
        <is>
          <t>Diabetes mellitus: glicemia capilar, insulinoterapia e pé diabético; avaliação prática intercalar em estações · 1.ª série de estações práticas</t>
        </is>
      </c>
      <c r="J119" s="4" t="inlineStr">
        <is>
          <t>Prof. Manuel Jorge Weber</t>
        </is>
      </c>
      <c r="K119" s="3" t="inlineStr">
        <is>
          <t>Avaliação prática</t>
        </is>
      </c>
      <c r="L119" s="3" t="n">
        <v>90</v>
      </c>
    </row>
    <row r="120">
      <c r="A120" s="7" t="n">
        <v>118</v>
      </c>
      <c r="B120" s="8" t="inlineStr">
        <is>
          <t>12/01/2027</t>
        </is>
      </c>
      <c r="C120" s="8" t="inlineStr">
        <is>
          <t>Terça-feira</t>
        </is>
      </c>
      <c r="D120" s="7" t="n">
        <v>4</v>
      </c>
      <c r="E120" s="8" t="inlineStr">
        <is>
          <t>09h30–09h45</t>
        </is>
      </c>
      <c r="F120" s="8" t="inlineStr">
        <is>
          <t>Intervalo</t>
        </is>
      </c>
      <c r="G120" s="9" t="inlineStr">
        <is>
          <t>—</t>
        </is>
      </c>
      <c r="H120" s="10" t="inlineStr">
        <is>
          <t>—</t>
        </is>
      </c>
      <c r="I120" s="10" t="inlineStr">
        <is>
          <t>Intervalo regulamentar</t>
        </is>
      </c>
      <c r="J120" s="8" t="inlineStr">
        <is>
          <t>—</t>
        </is>
      </c>
      <c r="K120" s="7" t="inlineStr">
        <is>
          <t>—</t>
        </is>
      </c>
      <c r="L120" s="7" t="n">
        <v>15</v>
      </c>
    </row>
    <row r="121">
      <c r="A121" s="3" t="n">
        <v>119</v>
      </c>
      <c r="B121" s="4" t="inlineStr">
        <is>
          <t>12/01/2027</t>
        </is>
      </c>
      <c r="C121" s="4" t="inlineStr">
        <is>
          <t>Terça-feira</t>
        </is>
      </c>
      <c r="D121" s="3" t="n">
        <v>4</v>
      </c>
      <c r="E121" s="4" t="inlineStr">
        <is>
          <t>09h45–11h15</t>
        </is>
      </c>
      <c r="F121" s="4" t="inlineStr">
        <is>
          <t>2.º tempo lectivo</t>
        </is>
      </c>
      <c r="G121" s="5" t="inlineStr">
        <is>
          <t>EMC</t>
        </is>
      </c>
      <c r="H121" s="6" t="inlineStr">
        <is>
          <t>UIV — Enfermagem ao doente digestivo, renal e endócrino</t>
        </is>
      </c>
      <c r="I121" s="6" t="inlineStr">
        <is>
          <t>Diabetes mellitus: glicemia capilar, insulinoterapia e pé diabético; avaliação prática intercalar em estações · 2.ª série de estações e devolução dos resultados</t>
        </is>
      </c>
      <c r="J121" s="4" t="inlineStr">
        <is>
          <t>Prof. Manuel Jorge Weber</t>
        </is>
      </c>
      <c r="K121" s="3" t="inlineStr">
        <is>
          <t>Avaliação prática</t>
        </is>
      </c>
      <c r="L121" s="3" t="n">
        <v>90</v>
      </c>
    </row>
    <row r="122">
      <c r="A122" s="11" t="n">
        <v>120</v>
      </c>
      <c r="B122" s="12" t="inlineStr">
        <is>
          <t>12/01/2027</t>
        </is>
      </c>
      <c r="C122" s="12" t="inlineStr">
        <is>
          <t>Terça-feira</t>
        </is>
      </c>
      <c r="D122" s="11" t="n">
        <v>4</v>
      </c>
      <c r="E122" s="12" t="inlineStr">
        <is>
          <t>11h15–12h15</t>
        </is>
      </c>
      <c r="F122" s="12" t="inlineStr">
        <is>
          <t>Bloco complementar</t>
        </is>
      </c>
      <c r="G122" s="13" t="inlineStr">
        <is>
          <t>UEPS</t>
        </is>
      </c>
      <c r="H122" s="14" t="inlineStr">
        <is>
          <t>UIV — Emergência traumatológica</t>
        </is>
      </c>
      <c r="I122" s="14" t="inlineStr">
        <is>
          <t>Mobilização e transporte de vítimas: maca, plano duro e transferência segura · Treino prático supervisionado</t>
        </is>
      </c>
      <c r="J122" s="12" t="inlineStr">
        <is>
          <t>Prof. Manuel Jorge Weber</t>
        </is>
      </c>
      <c r="K122" s="11" t="inlineStr">
        <is>
          <t>P</t>
        </is>
      </c>
      <c r="L122" s="11" t="n">
        <v>60</v>
      </c>
    </row>
    <row r="123">
      <c r="A123" s="15" t="n">
        <v>121</v>
      </c>
      <c r="B123" s="16" t="inlineStr">
        <is>
          <t>14/01/2027</t>
        </is>
      </c>
      <c r="C123" s="16" t="inlineStr">
        <is>
          <t>Quinta-feira</t>
        </is>
      </c>
      <c r="D123" s="15" t="n">
        <v>4</v>
      </c>
      <c r="E123" s="16" t="inlineStr">
        <is>
          <t>08h00–09h30</t>
        </is>
      </c>
      <c r="F123" s="16" t="inlineStr">
        <is>
          <t>1.º tempo lectivo</t>
        </is>
      </c>
      <c r="G123" s="17" t="inlineStr">
        <is>
          <t>SMON</t>
        </is>
      </c>
      <c r="H123" s="18" t="inlineStr">
        <is>
          <t>UIV — Trabalho de parto e partograma</t>
        </is>
      </c>
      <c r="I123" s="18" t="inlineStr">
        <is>
          <t>Partograma: preenchimento, linha de alerta e linha de acção; avaliação prática intercalar · 1.ª série de estações práticas</t>
        </is>
      </c>
      <c r="J123" s="16" t="inlineStr">
        <is>
          <t>Prof. Eduardo David</t>
        </is>
      </c>
      <c r="K123" s="15" t="inlineStr">
        <is>
          <t>Avaliação prática</t>
        </is>
      </c>
      <c r="L123" s="15" t="n">
        <v>90</v>
      </c>
    </row>
    <row r="124">
      <c r="A124" s="7" t="n">
        <v>122</v>
      </c>
      <c r="B124" s="8" t="inlineStr">
        <is>
          <t>14/01/2027</t>
        </is>
      </c>
      <c r="C124" s="8" t="inlineStr">
        <is>
          <t>Quinta-feira</t>
        </is>
      </c>
      <c r="D124" s="7" t="n">
        <v>4</v>
      </c>
      <c r="E124" s="8" t="inlineStr">
        <is>
          <t>09h30–09h45</t>
        </is>
      </c>
      <c r="F124" s="8" t="inlineStr">
        <is>
          <t>Intervalo</t>
        </is>
      </c>
      <c r="G124" s="9" t="inlineStr">
        <is>
          <t>—</t>
        </is>
      </c>
      <c r="H124" s="10" t="inlineStr">
        <is>
          <t>—</t>
        </is>
      </c>
      <c r="I124" s="10" t="inlineStr">
        <is>
          <t>Intervalo regulamentar</t>
        </is>
      </c>
      <c r="J124" s="8" t="inlineStr">
        <is>
          <t>—</t>
        </is>
      </c>
      <c r="K124" s="7" t="inlineStr">
        <is>
          <t>—</t>
        </is>
      </c>
      <c r="L124" s="7" t="n">
        <v>15</v>
      </c>
    </row>
    <row r="125">
      <c r="A125" s="15" t="n">
        <v>123</v>
      </c>
      <c r="B125" s="16" t="inlineStr">
        <is>
          <t>14/01/2027</t>
        </is>
      </c>
      <c r="C125" s="16" t="inlineStr">
        <is>
          <t>Quinta-feira</t>
        </is>
      </c>
      <c r="D125" s="15" t="n">
        <v>4</v>
      </c>
      <c r="E125" s="16" t="inlineStr">
        <is>
          <t>09h45–11h15</t>
        </is>
      </c>
      <c r="F125" s="16" t="inlineStr">
        <is>
          <t>2.º tempo lectivo</t>
        </is>
      </c>
      <c r="G125" s="17" t="inlineStr">
        <is>
          <t>SMON</t>
        </is>
      </c>
      <c r="H125" s="18" t="inlineStr">
        <is>
          <t>UIV — Trabalho de parto e partograma</t>
        </is>
      </c>
      <c r="I125" s="18" t="inlineStr">
        <is>
          <t>Partograma: preenchimento, linha de alerta e linha de acção; avaliação prática intercalar · 2.ª série de estações e devolução dos resultados</t>
        </is>
      </c>
      <c r="J125" s="16" t="inlineStr">
        <is>
          <t>Prof. Eduardo David</t>
        </is>
      </c>
      <c r="K125" s="15" t="inlineStr">
        <is>
          <t>Avaliação prática</t>
        </is>
      </c>
      <c r="L125" s="15" t="n">
        <v>90</v>
      </c>
    </row>
    <row r="126">
      <c r="A126" s="19" t="n">
        <v>124</v>
      </c>
      <c r="B126" s="20" t="inlineStr">
        <is>
          <t>14/01/2027</t>
        </is>
      </c>
      <c r="C126" s="20" t="inlineStr">
        <is>
          <t>Quinta-feira</t>
        </is>
      </c>
      <c r="D126" s="19" t="n">
        <v>4</v>
      </c>
      <c r="E126" s="20" t="inlineStr">
        <is>
          <t>11h15–12h15</t>
        </is>
      </c>
      <c r="F126" s="20" t="inlineStr">
        <is>
          <t>Bloco complementar</t>
        </is>
      </c>
      <c r="G126" s="21" t="inlineStr">
        <is>
          <t>EPSC</t>
        </is>
      </c>
      <c r="H126" s="22" t="inlineStr">
        <is>
          <t>UIV — Doença diarreica e desidratação</t>
        </is>
      </c>
      <c r="I126" s="22" t="inlineStr">
        <is>
          <t>Terapia de reidratação oral: preparação da solução e educação do cuidador · Treino prático supervisionado</t>
        </is>
      </c>
      <c r="J126" s="20" t="inlineStr">
        <is>
          <t>Prof. Eduardo David</t>
        </is>
      </c>
      <c r="K126" s="19" t="inlineStr">
        <is>
          <t>P</t>
        </is>
      </c>
      <c r="L126" s="19" t="n">
        <v>60</v>
      </c>
    </row>
    <row r="127">
      <c r="A127" s="11" t="n">
        <v>125</v>
      </c>
      <c r="B127" s="12" t="inlineStr">
        <is>
          <t>19/01/2027</t>
        </is>
      </c>
      <c r="C127" s="12" t="inlineStr">
        <is>
          <t>Terça-feira</t>
        </is>
      </c>
      <c r="D127" s="11" t="n">
        <v>5</v>
      </c>
      <c r="E127" s="12" t="inlineStr">
        <is>
          <t>08h00–09h30</t>
        </is>
      </c>
      <c r="F127" s="12" t="inlineStr">
        <is>
          <t>1.º tempo lectivo</t>
        </is>
      </c>
      <c r="G127" s="13" t="inlineStr">
        <is>
          <t>UEPS</t>
        </is>
      </c>
      <c r="H127" s="14" t="inlineStr">
        <is>
          <t>UV — Queimaduras, intoxicações e mordeduras</t>
        </is>
      </c>
      <c r="I127" s="14" t="inlineStr">
        <is>
          <t>Queimaduras: avaliação da extensão e profundidade, arrefecimento, penso e reposição de fluidos · Enquadramento teórico e demonstração da técnica</t>
        </is>
      </c>
      <c r="J127" s="12" t="inlineStr">
        <is>
          <t>Prof. Manuel Jorge Weber</t>
        </is>
      </c>
      <c r="K127" s="11" t="inlineStr">
        <is>
          <t>TP</t>
        </is>
      </c>
      <c r="L127" s="11" t="n">
        <v>90</v>
      </c>
    </row>
    <row r="128">
      <c r="A128" s="7" t="n">
        <v>126</v>
      </c>
      <c r="B128" s="8" t="inlineStr">
        <is>
          <t>19/01/2027</t>
        </is>
      </c>
      <c r="C128" s="8" t="inlineStr">
        <is>
          <t>Terça-feira</t>
        </is>
      </c>
      <c r="D128" s="7" t="n">
        <v>5</v>
      </c>
      <c r="E128" s="8" t="inlineStr">
        <is>
          <t>09h30–09h45</t>
        </is>
      </c>
      <c r="F128" s="8" t="inlineStr">
        <is>
          <t>Intervalo</t>
        </is>
      </c>
      <c r="G128" s="9" t="inlineStr">
        <is>
          <t>—</t>
        </is>
      </c>
      <c r="H128" s="10" t="inlineStr">
        <is>
          <t>—</t>
        </is>
      </c>
      <c r="I128" s="10" t="inlineStr">
        <is>
          <t>Intervalo regulamentar</t>
        </is>
      </c>
      <c r="J128" s="8" t="inlineStr">
        <is>
          <t>—</t>
        </is>
      </c>
      <c r="K128" s="7" t="inlineStr">
        <is>
          <t>—</t>
        </is>
      </c>
      <c r="L128" s="7" t="n">
        <v>15</v>
      </c>
    </row>
    <row r="129">
      <c r="A129" s="11" t="n">
        <v>127</v>
      </c>
      <c r="B129" s="12" t="inlineStr">
        <is>
          <t>19/01/2027</t>
        </is>
      </c>
      <c r="C129" s="12" t="inlineStr">
        <is>
          <t>Terça-feira</t>
        </is>
      </c>
      <c r="D129" s="11" t="n">
        <v>5</v>
      </c>
      <c r="E129" s="12" t="inlineStr">
        <is>
          <t>09h45–11h15</t>
        </is>
      </c>
      <c r="F129" s="12" t="inlineStr">
        <is>
          <t>2.º tempo lectivo</t>
        </is>
      </c>
      <c r="G129" s="13" t="inlineStr">
        <is>
          <t>UEPS</t>
        </is>
      </c>
      <c r="H129" s="14" t="inlineStr">
        <is>
          <t>UV — Queimaduras, intoxicações e mordeduras</t>
        </is>
      </c>
      <c r="I129" s="14" t="inlineStr">
        <is>
          <t>Queimaduras: avaliação da extensão e profundidade, arrefecimento, penso e reposição de fluidos · Treino prático supervisionado e estudo de caso</t>
        </is>
      </c>
      <c r="J129" s="12" t="inlineStr">
        <is>
          <t>Prof. Manuel Jorge Weber</t>
        </is>
      </c>
      <c r="K129" s="11" t="inlineStr">
        <is>
          <t>P</t>
        </is>
      </c>
      <c r="L129" s="11" t="n">
        <v>90</v>
      </c>
    </row>
    <row r="130">
      <c r="A130" s="3" t="n">
        <v>128</v>
      </c>
      <c r="B130" s="4" t="inlineStr">
        <is>
          <t>19/01/2027</t>
        </is>
      </c>
      <c r="C130" s="4" t="inlineStr">
        <is>
          <t>Terça-feira</t>
        </is>
      </c>
      <c r="D130" s="3" t="n">
        <v>5</v>
      </c>
      <c r="E130" s="4" t="inlineStr">
        <is>
          <t>11h15–12h15</t>
        </is>
      </c>
      <c r="F130" s="4" t="inlineStr">
        <is>
          <t>Bloco complementar</t>
        </is>
      </c>
      <c r="G130" s="5" t="inlineStr">
        <is>
          <t>EMC</t>
        </is>
      </c>
      <c r="H130" s="6" t="inlineStr">
        <is>
          <t>UV — Doenças infecciosas prevalentes no adulto</t>
        </is>
      </c>
      <c r="I130" s="6" t="inlineStr">
        <is>
          <t>Malária no adulto: sinais de gravidade, teste rápido de diagnóstico e cuidados de enfermagem · Demonstração e aplicação prática</t>
        </is>
      </c>
      <c r="J130" s="4" t="inlineStr">
        <is>
          <t>Prof. Manuel Jorge Weber</t>
        </is>
      </c>
      <c r="K130" s="3" t="inlineStr">
        <is>
          <t>TP</t>
        </is>
      </c>
      <c r="L130" s="3" t="n">
        <v>60</v>
      </c>
    </row>
    <row r="131">
      <c r="A131" s="19" t="n">
        <v>129</v>
      </c>
      <c r="B131" s="20" t="inlineStr">
        <is>
          <t>21/01/2027</t>
        </is>
      </c>
      <c r="C131" s="20" t="inlineStr">
        <is>
          <t>Quinta-feira</t>
        </is>
      </c>
      <c r="D131" s="19" t="n">
        <v>5</v>
      </c>
      <c r="E131" s="20" t="inlineStr">
        <is>
          <t>08h00–09h30</t>
        </is>
      </c>
      <c r="F131" s="20" t="inlineStr">
        <is>
          <t>1.º tempo lectivo</t>
        </is>
      </c>
      <c r="G131" s="21" t="inlineStr">
        <is>
          <t>EPSC</t>
        </is>
      </c>
      <c r="H131" s="22" t="inlineStr">
        <is>
          <t>UV — Infecções respiratórias agudas e malária na criança</t>
        </is>
      </c>
      <c r="I131" s="22" t="inlineStr">
        <is>
          <t>Pneumonia: contagem da frequência respiratória, tiragem, classificação e cuidados de enfermagem · Enquadramento teórico e demonstração da técnica</t>
        </is>
      </c>
      <c r="J131" s="20" t="inlineStr">
        <is>
          <t>Prof. Eduardo David</t>
        </is>
      </c>
      <c r="K131" s="19" t="inlineStr">
        <is>
          <t>TP</t>
        </is>
      </c>
      <c r="L131" s="19" t="n">
        <v>90</v>
      </c>
    </row>
    <row r="132">
      <c r="A132" s="7" t="n">
        <v>130</v>
      </c>
      <c r="B132" s="8" t="inlineStr">
        <is>
          <t>21/01/2027</t>
        </is>
      </c>
      <c r="C132" s="8" t="inlineStr">
        <is>
          <t>Quinta-feira</t>
        </is>
      </c>
      <c r="D132" s="7" t="n">
        <v>5</v>
      </c>
      <c r="E132" s="8" t="inlineStr">
        <is>
          <t>09h30–09h45</t>
        </is>
      </c>
      <c r="F132" s="8" t="inlineStr">
        <is>
          <t>Intervalo</t>
        </is>
      </c>
      <c r="G132" s="9" t="inlineStr">
        <is>
          <t>—</t>
        </is>
      </c>
      <c r="H132" s="10" t="inlineStr">
        <is>
          <t>—</t>
        </is>
      </c>
      <c r="I132" s="10" t="inlineStr">
        <is>
          <t>Intervalo regulamentar</t>
        </is>
      </c>
      <c r="J132" s="8" t="inlineStr">
        <is>
          <t>—</t>
        </is>
      </c>
      <c r="K132" s="7" t="inlineStr">
        <is>
          <t>—</t>
        </is>
      </c>
      <c r="L132" s="7" t="n">
        <v>15</v>
      </c>
    </row>
    <row r="133">
      <c r="A133" s="19" t="n">
        <v>131</v>
      </c>
      <c r="B133" s="20" t="inlineStr">
        <is>
          <t>21/01/2027</t>
        </is>
      </c>
      <c r="C133" s="20" t="inlineStr">
        <is>
          <t>Quinta-feira</t>
        </is>
      </c>
      <c r="D133" s="19" t="n">
        <v>5</v>
      </c>
      <c r="E133" s="20" t="inlineStr">
        <is>
          <t>09h45–11h15</t>
        </is>
      </c>
      <c r="F133" s="20" t="inlineStr">
        <is>
          <t>2.º tempo lectivo</t>
        </is>
      </c>
      <c r="G133" s="21" t="inlineStr">
        <is>
          <t>EPSC</t>
        </is>
      </c>
      <c r="H133" s="22" t="inlineStr">
        <is>
          <t>UV — Infecções respiratórias agudas e malária na criança</t>
        </is>
      </c>
      <c r="I133" s="22" t="inlineStr">
        <is>
          <t>Pneumonia: contagem da frequência respiratória, tiragem, classificação e cuidados de enfermagem · Treino prático supervisionado e estudo de caso</t>
        </is>
      </c>
      <c r="J133" s="20" t="inlineStr">
        <is>
          <t>Prof. Eduardo David</t>
        </is>
      </c>
      <c r="K133" s="19" t="inlineStr">
        <is>
          <t>P</t>
        </is>
      </c>
      <c r="L133" s="19" t="n">
        <v>90</v>
      </c>
    </row>
    <row r="134">
      <c r="A134" s="15" t="n">
        <v>132</v>
      </c>
      <c r="B134" s="16" t="inlineStr">
        <is>
          <t>21/01/2027</t>
        </is>
      </c>
      <c r="C134" s="16" t="inlineStr">
        <is>
          <t>Quinta-feira</t>
        </is>
      </c>
      <c r="D134" s="15" t="n">
        <v>5</v>
      </c>
      <c r="E134" s="16" t="inlineStr">
        <is>
          <t>11h15–12h15</t>
        </is>
      </c>
      <c r="F134" s="16" t="inlineStr">
        <is>
          <t>Bloco complementar</t>
        </is>
      </c>
      <c r="G134" s="17" t="inlineStr">
        <is>
          <t>SMON</t>
        </is>
      </c>
      <c r="H134" s="18" t="inlineStr">
        <is>
          <t>UV — Assistência ao parto e dequitadura</t>
        </is>
      </c>
      <c r="I134" s="18" t="inlineStr">
        <is>
          <t>Preparação do material e do campo para o parto; apoio e posições da parturiente · Treino prático supervisionado</t>
        </is>
      </c>
      <c r="J134" s="16" t="inlineStr">
        <is>
          <t>Prof. Eduardo David</t>
        </is>
      </c>
      <c r="K134" s="15" t="inlineStr">
        <is>
          <t>P</t>
        </is>
      </c>
      <c r="L134" s="15" t="n">
        <v>60</v>
      </c>
    </row>
    <row r="135">
      <c r="A135" s="23" t="n">
        <v>133</v>
      </c>
      <c r="B135" s="24" t="inlineStr">
        <is>
          <t>26/01/2027</t>
        </is>
      </c>
      <c r="C135" s="24" t="inlineStr">
        <is>
          <t>Terça-feira</t>
        </is>
      </c>
      <c r="D135" s="23" t="n">
        <v>5</v>
      </c>
      <c r="E135" s="24" t="inlineStr">
        <is>
          <t>08h00–09h30</t>
        </is>
      </c>
      <c r="F135" s="24" t="inlineStr">
        <is>
          <t>1.º tempo</t>
        </is>
      </c>
      <c r="G135" s="25" t="inlineStr">
        <is>
          <t>SEM</t>
        </is>
      </c>
      <c r="H135" s="26" t="inlineStr">
        <is>
          <t>Seminário 5 — Língua Portuguesa II</t>
        </is>
      </c>
      <c r="I135" s="26" t="inlineStr">
        <is>
          <t>Módulo 1 — Registos de enfermagem, relatório e passagem de turno escrita</t>
        </is>
      </c>
      <c r="J135" s="24" t="inlineStr">
        <is>
          <t>Formador(a) convidado(a)</t>
        </is>
      </c>
      <c r="K135" s="23" t="inlineStr">
        <is>
          <t>T</t>
        </is>
      </c>
      <c r="L135" s="23" t="n">
        <v>90</v>
      </c>
    </row>
    <row r="136">
      <c r="A136" s="7" t="n">
        <v>134</v>
      </c>
      <c r="B136" s="8" t="inlineStr">
        <is>
          <t>26/01/2027</t>
        </is>
      </c>
      <c r="C136" s="8" t="inlineStr">
        <is>
          <t>Terça-feira</t>
        </is>
      </c>
      <c r="D136" s="7" t="n">
        <v>5</v>
      </c>
      <c r="E136" s="8" t="inlineStr">
        <is>
          <t>09h30–09h45</t>
        </is>
      </c>
      <c r="F136" s="8" t="inlineStr">
        <is>
          <t>Intervalo</t>
        </is>
      </c>
      <c r="G136" s="9" t="inlineStr">
        <is>
          <t>—</t>
        </is>
      </c>
      <c r="H136" s="10" t="inlineStr">
        <is>
          <t>—</t>
        </is>
      </c>
      <c r="I136" s="10" t="inlineStr">
        <is>
          <t>Intervalo regulamentar</t>
        </is>
      </c>
      <c r="J136" s="8" t="inlineStr">
        <is>
          <t>—</t>
        </is>
      </c>
      <c r="K136" s="7" t="inlineStr">
        <is>
          <t>—</t>
        </is>
      </c>
      <c r="L136" s="7" t="n">
        <v>15</v>
      </c>
    </row>
    <row r="137">
      <c r="A137" s="23" t="n">
        <v>135</v>
      </c>
      <c r="B137" s="24" t="inlineStr">
        <is>
          <t>26/01/2027</t>
        </is>
      </c>
      <c r="C137" s="24" t="inlineStr">
        <is>
          <t>Terça-feira</t>
        </is>
      </c>
      <c r="D137" s="23" t="n">
        <v>5</v>
      </c>
      <c r="E137" s="24" t="inlineStr">
        <is>
          <t>09h45–11h15</t>
        </is>
      </c>
      <c r="F137" s="24" t="inlineStr">
        <is>
          <t>2.º tempo</t>
        </is>
      </c>
      <c r="G137" s="25" t="inlineStr">
        <is>
          <t>SEM</t>
        </is>
      </c>
      <c r="H137" s="26" t="inlineStr">
        <is>
          <t>Seminário 5 — Língua Portuguesa II</t>
        </is>
      </c>
      <c r="I137" s="26" t="inlineStr">
        <is>
          <t>Módulo 2 — Registos de enfermagem, relatório e passagem de turno escrita</t>
        </is>
      </c>
      <c r="J137" s="24" t="inlineStr">
        <is>
          <t>Formador(a) convidado(a)</t>
        </is>
      </c>
      <c r="K137" s="23" t="inlineStr">
        <is>
          <t>T</t>
        </is>
      </c>
      <c r="L137" s="23" t="n">
        <v>90</v>
      </c>
    </row>
    <row r="138">
      <c r="A138" s="23" t="n">
        <v>136</v>
      </c>
      <c r="B138" s="24" t="inlineStr">
        <is>
          <t>26/01/2027</t>
        </is>
      </c>
      <c r="C138" s="24" t="inlineStr">
        <is>
          <t>Terça-feira</t>
        </is>
      </c>
      <c r="D138" s="23" t="n">
        <v>5</v>
      </c>
      <c r="E138" s="24" t="inlineStr">
        <is>
          <t>11h15–12h15</t>
        </is>
      </c>
      <c r="F138" s="24" t="inlineStr">
        <is>
          <t>Bloco complementar</t>
        </is>
      </c>
      <c r="G138" s="25" t="inlineStr">
        <is>
          <t>SEM</t>
        </is>
      </c>
      <c r="H138" s="26" t="inlineStr">
        <is>
          <t>Seminário 5 — Língua Portuguesa II</t>
        </is>
      </c>
      <c r="I138" s="26" t="inlineStr">
        <is>
          <t>Oficina e ficha-síntese de participação</t>
        </is>
      </c>
      <c r="J138" s="24" t="inlineStr">
        <is>
          <t>Formador(a) convidado(a)</t>
        </is>
      </c>
      <c r="K138" s="23" t="inlineStr">
        <is>
          <t>P</t>
        </is>
      </c>
      <c r="L138" s="23" t="n">
        <v>60</v>
      </c>
    </row>
    <row r="139">
      <c r="A139" s="15" t="n">
        <v>137</v>
      </c>
      <c r="B139" s="16" t="inlineStr">
        <is>
          <t>28/01/2027</t>
        </is>
      </c>
      <c r="C139" s="16" t="inlineStr">
        <is>
          <t>Quinta-feira</t>
        </is>
      </c>
      <c r="D139" s="15" t="n">
        <v>5</v>
      </c>
      <c r="E139" s="16" t="inlineStr">
        <is>
          <t>08h00–09h30</t>
        </is>
      </c>
      <c r="F139" s="16" t="inlineStr">
        <is>
          <t>1.º tempo lectivo</t>
        </is>
      </c>
      <c r="G139" s="17" t="inlineStr">
        <is>
          <t>SMON</t>
        </is>
      </c>
      <c r="H139" s="18" t="inlineStr">
        <is>
          <t>UV — Assistência ao parto e dequitadura</t>
        </is>
      </c>
      <c r="I139" s="18" t="inlineStr">
        <is>
          <t>Assistência ao parto normal em modelo: protecção do períneo e clampagem do cordão (simulação; em contexto real apenas sob supervisão) · Demonstração da técnica e critérios de execução</t>
        </is>
      </c>
      <c r="J139" s="16" t="inlineStr">
        <is>
          <t>Prof. Eduardo David</t>
        </is>
      </c>
      <c r="K139" s="15" t="inlineStr">
        <is>
          <t>P</t>
        </is>
      </c>
      <c r="L139" s="15" t="n">
        <v>90</v>
      </c>
    </row>
    <row r="140">
      <c r="A140" s="7" t="n">
        <v>138</v>
      </c>
      <c r="B140" s="8" t="inlineStr">
        <is>
          <t>28/01/2027</t>
        </is>
      </c>
      <c r="C140" s="8" t="inlineStr">
        <is>
          <t>Quinta-feira</t>
        </is>
      </c>
      <c r="D140" s="7" t="n">
        <v>5</v>
      </c>
      <c r="E140" s="8" t="inlineStr">
        <is>
          <t>09h30–09h45</t>
        </is>
      </c>
      <c r="F140" s="8" t="inlineStr">
        <is>
          <t>Intervalo</t>
        </is>
      </c>
      <c r="G140" s="9" t="inlineStr">
        <is>
          <t>—</t>
        </is>
      </c>
      <c r="H140" s="10" t="inlineStr">
        <is>
          <t>—</t>
        </is>
      </c>
      <c r="I140" s="10" t="inlineStr">
        <is>
          <t>Intervalo regulamentar</t>
        </is>
      </c>
      <c r="J140" s="8" t="inlineStr">
        <is>
          <t>—</t>
        </is>
      </c>
      <c r="K140" s="7" t="inlineStr">
        <is>
          <t>—</t>
        </is>
      </c>
      <c r="L140" s="7" t="n">
        <v>15</v>
      </c>
    </row>
    <row r="141">
      <c r="A141" s="15" t="n">
        <v>139</v>
      </c>
      <c r="B141" s="16" t="inlineStr">
        <is>
          <t>28/01/2027</t>
        </is>
      </c>
      <c r="C141" s="16" t="inlineStr">
        <is>
          <t>Quinta-feira</t>
        </is>
      </c>
      <c r="D141" s="15" t="n">
        <v>5</v>
      </c>
      <c r="E141" s="16" t="inlineStr">
        <is>
          <t>09h45–11h15</t>
        </is>
      </c>
      <c r="F141" s="16" t="inlineStr">
        <is>
          <t>2.º tempo lectivo</t>
        </is>
      </c>
      <c r="G141" s="17" t="inlineStr">
        <is>
          <t>SMON</t>
        </is>
      </c>
      <c r="H141" s="18" t="inlineStr">
        <is>
          <t>UV — Assistência ao parto e dequitadura</t>
        </is>
      </c>
      <c r="I141" s="18" t="inlineStr">
        <is>
          <t>Assistência ao parto normal em modelo: protecção do períneo e clampagem do cordão (simulação; em contexto real apenas sob supervisão) · Treino prático em estações com correcção individual</t>
        </is>
      </c>
      <c r="J141" s="16" t="inlineStr">
        <is>
          <t>Prof. Eduardo David</t>
        </is>
      </c>
      <c r="K141" s="15" t="inlineStr">
        <is>
          <t>P</t>
        </is>
      </c>
      <c r="L141" s="15" t="n">
        <v>90</v>
      </c>
    </row>
    <row r="142">
      <c r="A142" s="19" t="n">
        <v>140</v>
      </c>
      <c r="B142" s="20" t="inlineStr">
        <is>
          <t>28/01/2027</t>
        </is>
      </c>
      <c r="C142" s="20" t="inlineStr">
        <is>
          <t>Quinta-feira</t>
        </is>
      </c>
      <c r="D142" s="19" t="n">
        <v>5</v>
      </c>
      <c r="E142" s="20" t="inlineStr">
        <is>
          <t>11h15–12h15</t>
        </is>
      </c>
      <c r="F142" s="20" t="inlineStr">
        <is>
          <t>Bloco complementar</t>
        </is>
      </c>
      <c r="G142" s="21" t="inlineStr">
        <is>
          <t>EPSC</t>
        </is>
      </c>
      <c r="H142" s="22" t="inlineStr">
        <is>
          <t>UV — Infecções respiratórias agudas e malária na criança</t>
        </is>
      </c>
      <c r="I142" s="22" t="inlineStr">
        <is>
          <t>Bronquiolite, asma e laringite: nebulização e oxigenoterapia pediátrica · Treino prático supervisionado</t>
        </is>
      </c>
      <c r="J142" s="20" t="inlineStr">
        <is>
          <t>Prof. Eduardo David</t>
        </is>
      </c>
      <c r="K142" s="19" t="inlineStr">
        <is>
          <t>P</t>
        </is>
      </c>
      <c r="L142" s="19" t="n">
        <v>60</v>
      </c>
    </row>
    <row r="143">
      <c r="A143" s="3" t="n">
        <v>141</v>
      </c>
      <c r="B143" s="4" t="inlineStr">
        <is>
          <t>02/02/2027</t>
        </is>
      </c>
      <c r="C143" s="4" t="inlineStr">
        <is>
          <t>Terça-feira</t>
        </is>
      </c>
      <c r="D143" s="3" t="n">
        <v>5</v>
      </c>
      <c r="E143" s="4" t="inlineStr">
        <is>
          <t>08h00–09h30</t>
        </is>
      </c>
      <c r="F143" s="4" t="inlineStr">
        <is>
          <t>1.º tempo lectivo</t>
        </is>
      </c>
      <c r="G143" s="5" t="inlineStr">
        <is>
          <t>EMC</t>
        </is>
      </c>
      <c r="H143" s="6" t="inlineStr">
        <is>
          <t>UV — Doenças infecciosas prevalentes no adulto</t>
        </is>
      </c>
      <c r="I143" s="6" t="inlineStr">
        <is>
          <t>Tuberculose, VIH/SIDA e doença diarreica no adulto: isolamento, reidratação e adesão terapêutica · Enquadramento teórico e demonstração da técnica</t>
        </is>
      </c>
      <c r="J143" s="4" t="inlineStr">
        <is>
          <t>Prof. Manuel Jorge Weber</t>
        </is>
      </c>
      <c r="K143" s="3" t="inlineStr">
        <is>
          <t>TP</t>
        </is>
      </c>
      <c r="L143" s="3" t="n">
        <v>90</v>
      </c>
    </row>
    <row r="144">
      <c r="A144" s="7" t="n">
        <v>142</v>
      </c>
      <c r="B144" s="8" t="inlineStr">
        <is>
          <t>02/02/2027</t>
        </is>
      </c>
      <c r="C144" s="8" t="inlineStr">
        <is>
          <t>Terça-feira</t>
        </is>
      </c>
      <c r="D144" s="7" t="n">
        <v>5</v>
      </c>
      <c r="E144" s="8" t="inlineStr">
        <is>
          <t>09h30–09h45</t>
        </is>
      </c>
      <c r="F144" s="8" t="inlineStr">
        <is>
          <t>Intervalo</t>
        </is>
      </c>
      <c r="G144" s="9" t="inlineStr">
        <is>
          <t>—</t>
        </is>
      </c>
      <c r="H144" s="10" t="inlineStr">
        <is>
          <t>—</t>
        </is>
      </c>
      <c r="I144" s="10" t="inlineStr">
        <is>
          <t>Intervalo regulamentar</t>
        </is>
      </c>
      <c r="J144" s="8" t="inlineStr">
        <is>
          <t>—</t>
        </is>
      </c>
      <c r="K144" s="7" t="inlineStr">
        <is>
          <t>—</t>
        </is>
      </c>
      <c r="L144" s="7" t="n">
        <v>15</v>
      </c>
    </row>
    <row r="145">
      <c r="A145" s="3" t="n">
        <v>143</v>
      </c>
      <c r="B145" s="4" t="inlineStr">
        <is>
          <t>02/02/2027</t>
        </is>
      </c>
      <c r="C145" s="4" t="inlineStr">
        <is>
          <t>Terça-feira</t>
        </is>
      </c>
      <c r="D145" s="3" t="n">
        <v>5</v>
      </c>
      <c r="E145" s="4" t="inlineStr">
        <is>
          <t>09h45–11h15</t>
        </is>
      </c>
      <c r="F145" s="4" t="inlineStr">
        <is>
          <t>2.º tempo lectivo</t>
        </is>
      </c>
      <c r="G145" s="5" t="inlineStr">
        <is>
          <t>EMC</t>
        </is>
      </c>
      <c r="H145" s="6" t="inlineStr">
        <is>
          <t>UV — Doenças infecciosas prevalentes no adulto</t>
        </is>
      </c>
      <c r="I145" s="6" t="inlineStr">
        <is>
          <t>Tuberculose, VIH/SIDA e doença diarreica no adulto: isolamento, reidratação e adesão terapêutica · Treino prático supervisionado e estudo de caso</t>
        </is>
      </c>
      <c r="J145" s="4" t="inlineStr">
        <is>
          <t>Prof. Manuel Jorge Weber</t>
        </is>
      </c>
      <c r="K145" s="3" t="inlineStr">
        <is>
          <t>P</t>
        </is>
      </c>
      <c r="L145" s="3" t="n">
        <v>90</v>
      </c>
    </row>
    <row r="146">
      <c r="A146" s="11" t="n">
        <v>144</v>
      </c>
      <c r="B146" s="12" t="inlineStr">
        <is>
          <t>02/02/2027</t>
        </is>
      </c>
      <c r="C146" s="12" t="inlineStr">
        <is>
          <t>Terça-feira</t>
        </is>
      </c>
      <c r="D146" s="11" t="n">
        <v>5</v>
      </c>
      <c r="E146" s="12" t="inlineStr">
        <is>
          <t>11h15–12h15</t>
        </is>
      </c>
      <c r="F146" s="12" t="inlineStr">
        <is>
          <t>Bloco complementar</t>
        </is>
      </c>
      <c r="G146" s="13" t="inlineStr">
        <is>
          <t>UEPS</t>
        </is>
      </c>
      <c r="H146" s="14" t="inlineStr">
        <is>
          <t>UV — Queimaduras, intoxicações e mordeduras</t>
        </is>
      </c>
      <c r="I146" s="14" t="inlineStr">
        <is>
          <t>Intoxicações, mordeduras de serpente e picadas: conduta inicial e profilaxia do tétano e da raiva · Exposição e discussão dirigida</t>
        </is>
      </c>
      <c r="J146" s="12" t="inlineStr">
        <is>
          <t>Prof. Manuel Jorge Weber</t>
        </is>
      </c>
      <c r="K146" s="11" t="inlineStr">
        <is>
          <t>T</t>
        </is>
      </c>
      <c r="L146" s="11" t="n">
        <v>60</v>
      </c>
    </row>
    <row r="147">
      <c r="A147" s="19" t="n">
        <v>145</v>
      </c>
      <c r="B147" s="20" t="inlineStr">
        <is>
          <t>11/02/2027</t>
        </is>
      </c>
      <c r="C147" s="20" t="inlineStr">
        <is>
          <t>Quinta-feira</t>
        </is>
      </c>
      <c r="D147" s="19" t="n">
        <v>5</v>
      </c>
      <c r="E147" s="20" t="inlineStr">
        <is>
          <t>08h00–09h30</t>
        </is>
      </c>
      <c r="F147" s="20" t="inlineStr">
        <is>
          <t>1.º tempo lectivo</t>
        </is>
      </c>
      <c r="G147" s="21" t="inlineStr">
        <is>
          <t>EPSC</t>
        </is>
      </c>
      <c r="H147" s="22" t="inlineStr">
        <is>
          <t>UV — Infecções respiratórias agudas e malária na criança</t>
        </is>
      </c>
      <c r="I147" s="22" t="inlineStr">
        <is>
          <t>Malária na criança e malária grave: sinais de gravidade, teste rápido e cuidados de enfermagem · Enquadramento teórico e demonstração da técnica</t>
        </is>
      </c>
      <c r="J147" s="20" t="inlineStr">
        <is>
          <t>Prof. Eduardo David</t>
        </is>
      </c>
      <c r="K147" s="19" t="inlineStr">
        <is>
          <t>TP</t>
        </is>
      </c>
      <c r="L147" s="19" t="n">
        <v>90</v>
      </c>
    </row>
    <row r="148">
      <c r="A148" s="7" t="n">
        <v>146</v>
      </c>
      <c r="B148" s="8" t="inlineStr">
        <is>
          <t>11/02/2027</t>
        </is>
      </c>
      <c r="C148" s="8" t="inlineStr">
        <is>
          <t>Quinta-feira</t>
        </is>
      </c>
      <c r="D148" s="7" t="n">
        <v>5</v>
      </c>
      <c r="E148" s="8" t="inlineStr">
        <is>
          <t>09h30–09h45</t>
        </is>
      </c>
      <c r="F148" s="8" t="inlineStr">
        <is>
          <t>Intervalo</t>
        </is>
      </c>
      <c r="G148" s="9" t="inlineStr">
        <is>
          <t>—</t>
        </is>
      </c>
      <c r="H148" s="10" t="inlineStr">
        <is>
          <t>—</t>
        </is>
      </c>
      <c r="I148" s="10" t="inlineStr">
        <is>
          <t>Intervalo regulamentar</t>
        </is>
      </c>
      <c r="J148" s="8" t="inlineStr">
        <is>
          <t>—</t>
        </is>
      </c>
      <c r="K148" s="7" t="inlineStr">
        <is>
          <t>—</t>
        </is>
      </c>
      <c r="L148" s="7" t="n">
        <v>15</v>
      </c>
    </row>
    <row r="149">
      <c r="A149" s="19" t="n">
        <v>147</v>
      </c>
      <c r="B149" s="20" t="inlineStr">
        <is>
          <t>11/02/2027</t>
        </is>
      </c>
      <c r="C149" s="20" t="inlineStr">
        <is>
          <t>Quinta-feira</t>
        </is>
      </c>
      <c r="D149" s="19" t="n">
        <v>5</v>
      </c>
      <c r="E149" s="20" t="inlineStr">
        <is>
          <t>09h45–11h15</t>
        </is>
      </c>
      <c r="F149" s="20" t="inlineStr">
        <is>
          <t>2.º tempo lectivo</t>
        </is>
      </c>
      <c r="G149" s="21" t="inlineStr">
        <is>
          <t>EPSC</t>
        </is>
      </c>
      <c r="H149" s="22" t="inlineStr">
        <is>
          <t>UV — Infecções respiratórias agudas e malária na criança</t>
        </is>
      </c>
      <c r="I149" s="22" t="inlineStr">
        <is>
          <t>Malária na criança e malária grave: sinais de gravidade, teste rápido e cuidados de enfermagem · Treino prático supervisionado e estudo de caso</t>
        </is>
      </c>
      <c r="J149" s="20" t="inlineStr">
        <is>
          <t>Prof. Eduardo David</t>
        </is>
      </c>
      <c r="K149" s="19" t="inlineStr">
        <is>
          <t>P</t>
        </is>
      </c>
      <c r="L149" s="19" t="n">
        <v>90</v>
      </c>
    </row>
    <row r="150">
      <c r="A150" s="15" t="n">
        <v>148</v>
      </c>
      <c r="B150" s="16" t="inlineStr">
        <is>
          <t>11/02/2027</t>
        </is>
      </c>
      <c r="C150" s="16" t="inlineStr">
        <is>
          <t>Quinta-feira</t>
        </is>
      </c>
      <c r="D150" s="15" t="n">
        <v>5</v>
      </c>
      <c r="E150" s="16" t="inlineStr">
        <is>
          <t>11h15–12h15</t>
        </is>
      </c>
      <c r="F150" s="16" t="inlineStr">
        <is>
          <t>Bloco complementar</t>
        </is>
      </c>
      <c r="G150" s="17" t="inlineStr">
        <is>
          <t>SMON</t>
        </is>
      </c>
      <c r="H150" s="18" t="inlineStr">
        <is>
          <t>UV — Assistência ao parto e dequitadura</t>
        </is>
      </c>
      <c r="I150" s="18" t="inlineStr">
        <is>
          <t>Terceiro período: manejo activo da dequitadura e revisão da placenta · Demonstração e aplicação prática</t>
        </is>
      </c>
      <c r="J150" s="16" t="inlineStr">
        <is>
          <t>Prof. Eduardo David</t>
        </is>
      </c>
      <c r="K150" s="15" t="inlineStr">
        <is>
          <t>TP</t>
        </is>
      </c>
      <c r="L150" s="15" t="n">
        <v>60</v>
      </c>
    </row>
    <row r="151">
      <c r="A151" s="3" t="n">
        <v>149</v>
      </c>
      <c r="B151" s="4" t="inlineStr">
        <is>
          <t>16/02/2027</t>
        </is>
      </c>
      <c r="C151" s="4" t="inlineStr">
        <is>
          <t>Terça-feira</t>
        </is>
      </c>
      <c r="D151" s="3" t="n">
        <v>6</v>
      </c>
      <c r="E151" s="4" t="inlineStr">
        <is>
          <t>08h00–09h30</t>
        </is>
      </c>
      <c r="F151" s="4" t="inlineStr">
        <is>
          <t>1.º tempo lectivo</t>
        </is>
      </c>
      <c r="G151" s="5" t="inlineStr">
        <is>
          <t>EMC</t>
        </is>
      </c>
      <c r="H151" s="6" t="inlineStr">
        <is>
          <t>UVI — Doente crítico, choque e enfermagem perioperatória</t>
        </is>
      </c>
      <c r="I151" s="6" t="inlineStr">
        <is>
          <t>Choque no adulto: reconhecimento, posicionamento, fluidoterapia e vigilância · Enquadramento teórico e demonstração da técnica</t>
        </is>
      </c>
      <c r="J151" s="4" t="inlineStr">
        <is>
          <t>Prof. Manuel Jorge Weber</t>
        </is>
      </c>
      <c r="K151" s="3" t="inlineStr">
        <is>
          <t>TP</t>
        </is>
      </c>
      <c r="L151" s="3" t="n">
        <v>90</v>
      </c>
    </row>
    <row r="152">
      <c r="A152" s="7" t="n">
        <v>150</v>
      </c>
      <c r="B152" s="8" t="inlineStr">
        <is>
          <t>16/02/2027</t>
        </is>
      </c>
      <c r="C152" s="8" t="inlineStr">
        <is>
          <t>Terça-feira</t>
        </is>
      </c>
      <c r="D152" s="7" t="n">
        <v>6</v>
      </c>
      <c r="E152" s="8" t="inlineStr">
        <is>
          <t>09h30–09h45</t>
        </is>
      </c>
      <c r="F152" s="8" t="inlineStr">
        <is>
          <t>Intervalo</t>
        </is>
      </c>
      <c r="G152" s="9" t="inlineStr">
        <is>
          <t>—</t>
        </is>
      </c>
      <c r="H152" s="10" t="inlineStr">
        <is>
          <t>—</t>
        </is>
      </c>
      <c r="I152" s="10" t="inlineStr">
        <is>
          <t>Intervalo regulamentar</t>
        </is>
      </c>
      <c r="J152" s="8" t="inlineStr">
        <is>
          <t>—</t>
        </is>
      </c>
      <c r="K152" s="7" t="inlineStr">
        <is>
          <t>—</t>
        </is>
      </c>
      <c r="L152" s="7" t="n">
        <v>15</v>
      </c>
    </row>
    <row r="153">
      <c r="A153" s="3" t="n">
        <v>151</v>
      </c>
      <c r="B153" s="4" t="inlineStr">
        <is>
          <t>16/02/2027</t>
        </is>
      </c>
      <c r="C153" s="4" t="inlineStr">
        <is>
          <t>Terça-feira</t>
        </is>
      </c>
      <c r="D153" s="3" t="n">
        <v>6</v>
      </c>
      <c r="E153" s="4" t="inlineStr">
        <is>
          <t>09h45–11h15</t>
        </is>
      </c>
      <c r="F153" s="4" t="inlineStr">
        <is>
          <t>2.º tempo lectivo</t>
        </is>
      </c>
      <c r="G153" s="5" t="inlineStr">
        <is>
          <t>EMC</t>
        </is>
      </c>
      <c r="H153" s="6" t="inlineStr">
        <is>
          <t>UVI — Doente crítico, choque e enfermagem perioperatória</t>
        </is>
      </c>
      <c r="I153" s="6" t="inlineStr">
        <is>
          <t>Choque no adulto: reconhecimento, posicionamento, fluidoterapia e vigilância · Treino prático supervisionado e estudo de caso</t>
        </is>
      </c>
      <c r="J153" s="4" t="inlineStr">
        <is>
          <t>Prof. Manuel Jorge Weber</t>
        </is>
      </c>
      <c r="K153" s="3" t="inlineStr">
        <is>
          <t>P</t>
        </is>
      </c>
      <c r="L153" s="3" t="n">
        <v>90</v>
      </c>
    </row>
    <row r="154">
      <c r="A154" s="11" t="n">
        <v>152</v>
      </c>
      <c r="B154" s="12" t="inlineStr">
        <is>
          <t>16/02/2027</t>
        </is>
      </c>
      <c r="C154" s="12" t="inlineStr">
        <is>
          <t>Terça-feira</t>
        </is>
      </c>
      <c r="D154" s="11" t="n">
        <v>6</v>
      </c>
      <c r="E154" s="12" t="inlineStr">
        <is>
          <t>11h15–12h15</t>
        </is>
      </c>
      <c r="F154" s="12" t="inlineStr">
        <is>
          <t>Bloco complementar</t>
        </is>
      </c>
      <c r="G154" s="13" t="inlineStr">
        <is>
          <t>UEPS</t>
        </is>
      </c>
      <c r="H154" s="14" t="inlineStr">
        <is>
          <t>UVI — Emergências clínicas</t>
        </is>
      </c>
      <c r="I154" s="14" t="inlineStr">
        <is>
          <t>Convulsão e estado de mal convulsivo; alteração do estado de consciência · Demonstração e aplicação prática</t>
        </is>
      </c>
      <c r="J154" s="12" t="inlineStr">
        <is>
          <t>Prof. Manuel Jorge Weber</t>
        </is>
      </c>
      <c r="K154" s="11" t="inlineStr">
        <is>
          <t>TP</t>
        </is>
      </c>
      <c r="L154" s="11" t="n">
        <v>60</v>
      </c>
    </row>
    <row r="155">
      <c r="A155" s="15" t="n">
        <v>153</v>
      </c>
      <c r="B155" s="16" t="inlineStr">
        <is>
          <t>18/02/2027</t>
        </is>
      </c>
      <c r="C155" s="16" t="inlineStr">
        <is>
          <t>Quinta-feira</t>
        </is>
      </c>
      <c r="D155" s="15" t="n">
        <v>6</v>
      </c>
      <c r="E155" s="16" t="inlineStr">
        <is>
          <t>08h00–09h30</t>
        </is>
      </c>
      <c r="F155" s="16" t="inlineStr">
        <is>
          <t>1.º tempo lectivo</t>
        </is>
      </c>
      <c r="G155" s="17" t="inlineStr">
        <is>
          <t>SMON</t>
        </is>
      </c>
      <c r="H155" s="18" t="inlineStr">
        <is>
          <t>UVI — Emergências obstétricas</t>
        </is>
      </c>
      <c r="I155" s="18" t="inlineStr">
        <is>
          <t>Pré-eclâmpsia e eclâmpsia: pesquisa de proteinúria, vigilância e conduta de emergência · Enquadramento teórico e demonstração da técnica</t>
        </is>
      </c>
      <c r="J155" s="16" t="inlineStr">
        <is>
          <t>Prof. Eduardo David</t>
        </is>
      </c>
      <c r="K155" s="15" t="inlineStr">
        <is>
          <t>TP</t>
        </is>
      </c>
      <c r="L155" s="15" t="n">
        <v>90</v>
      </c>
    </row>
    <row r="156">
      <c r="A156" s="7" t="n">
        <v>154</v>
      </c>
      <c r="B156" s="8" t="inlineStr">
        <is>
          <t>18/02/2027</t>
        </is>
      </c>
      <c r="C156" s="8" t="inlineStr">
        <is>
          <t>Quinta-feira</t>
        </is>
      </c>
      <c r="D156" s="7" t="n">
        <v>6</v>
      </c>
      <c r="E156" s="8" t="inlineStr">
        <is>
          <t>09h30–09h45</t>
        </is>
      </c>
      <c r="F156" s="8" t="inlineStr">
        <is>
          <t>Intervalo</t>
        </is>
      </c>
      <c r="G156" s="9" t="inlineStr">
        <is>
          <t>—</t>
        </is>
      </c>
      <c r="H156" s="10" t="inlineStr">
        <is>
          <t>—</t>
        </is>
      </c>
      <c r="I156" s="10" t="inlineStr">
        <is>
          <t>Intervalo regulamentar</t>
        </is>
      </c>
      <c r="J156" s="8" t="inlineStr">
        <is>
          <t>—</t>
        </is>
      </c>
      <c r="K156" s="7" t="inlineStr">
        <is>
          <t>—</t>
        </is>
      </c>
      <c r="L156" s="7" t="n">
        <v>15</v>
      </c>
    </row>
    <row r="157">
      <c r="A157" s="15" t="n">
        <v>155</v>
      </c>
      <c r="B157" s="16" t="inlineStr">
        <is>
          <t>18/02/2027</t>
        </is>
      </c>
      <c r="C157" s="16" t="inlineStr">
        <is>
          <t>Quinta-feira</t>
        </is>
      </c>
      <c r="D157" s="15" t="n">
        <v>6</v>
      </c>
      <c r="E157" s="16" t="inlineStr">
        <is>
          <t>09h45–11h15</t>
        </is>
      </c>
      <c r="F157" s="16" t="inlineStr">
        <is>
          <t>2.º tempo lectivo</t>
        </is>
      </c>
      <c r="G157" s="17" t="inlineStr">
        <is>
          <t>SMON</t>
        </is>
      </c>
      <c r="H157" s="18" t="inlineStr">
        <is>
          <t>UVI — Emergências obstétricas</t>
        </is>
      </c>
      <c r="I157" s="18" t="inlineStr">
        <is>
          <t>Pré-eclâmpsia e eclâmpsia: pesquisa de proteinúria, vigilância e conduta de emergência · Treino prático supervisionado e estudo de caso</t>
        </is>
      </c>
      <c r="J157" s="16" t="inlineStr">
        <is>
          <t>Prof. Eduardo David</t>
        </is>
      </c>
      <c r="K157" s="15" t="inlineStr">
        <is>
          <t>P</t>
        </is>
      </c>
      <c r="L157" s="15" t="n">
        <v>90</v>
      </c>
    </row>
    <row r="158">
      <c r="A158" s="19" t="n">
        <v>156</v>
      </c>
      <c r="B158" s="20" t="inlineStr">
        <is>
          <t>18/02/2027</t>
        </is>
      </c>
      <c r="C158" s="20" t="inlineStr">
        <is>
          <t>Quinta-feira</t>
        </is>
      </c>
      <c r="D158" s="19" t="n">
        <v>6</v>
      </c>
      <c r="E158" s="20" t="inlineStr">
        <is>
          <t>11h15–12h15</t>
        </is>
      </c>
      <c r="F158" s="20" t="inlineStr">
        <is>
          <t>Bloco complementar</t>
        </is>
      </c>
      <c r="G158" s="21" t="inlineStr">
        <is>
          <t>EPSC</t>
        </is>
      </c>
      <c r="H158" s="22" t="inlineStr">
        <is>
          <t>UVI — Drepanocitose, febre e emergências pediátricas</t>
        </is>
      </c>
      <c r="I158" s="22" t="inlineStr">
        <is>
          <t>Drepanocitose: crise vaso-oclusiva, hidratação, controlo da dor e prevenção de complicações · Demonstração e aplicação prática</t>
        </is>
      </c>
      <c r="J158" s="20" t="inlineStr">
        <is>
          <t>Prof. Eduardo David</t>
        </is>
      </c>
      <c r="K158" s="19" t="inlineStr">
        <is>
          <t>TP</t>
        </is>
      </c>
      <c r="L158" s="19" t="n">
        <v>60</v>
      </c>
    </row>
    <row r="159">
      <c r="A159" s="11" t="n">
        <v>157</v>
      </c>
      <c r="B159" s="12" t="inlineStr">
        <is>
          <t>23/02/2027</t>
        </is>
      </c>
      <c r="C159" s="12" t="inlineStr">
        <is>
          <t>Terça-feira</t>
        </is>
      </c>
      <c r="D159" s="11" t="n">
        <v>6</v>
      </c>
      <c r="E159" s="12" t="inlineStr">
        <is>
          <t>08h00–09h30</t>
        </is>
      </c>
      <c r="F159" s="12" t="inlineStr">
        <is>
          <t>1.º tempo lectivo</t>
        </is>
      </c>
      <c r="G159" s="13" t="inlineStr">
        <is>
          <t>UEPS</t>
        </is>
      </c>
      <c r="H159" s="14" t="inlineStr">
        <is>
          <t>UVI — Emergências clínicas</t>
        </is>
      </c>
      <c r="I159" s="14" t="inlineStr">
        <is>
          <t>Malária grave e desidratação grave em contexto de urgência; hipoglicemia e cetoacidose · Enquadramento teórico e demonstração da técnica</t>
        </is>
      </c>
      <c r="J159" s="12" t="inlineStr">
        <is>
          <t>Prof. Manuel Jorge Weber</t>
        </is>
      </c>
      <c r="K159" s="11" t="inlineStr">
        <is>
          <t>TP</t>
        </is>
      </c>
      <c r="L159" s="11" t="n">
        <v>90</v>
      </c>
    </row>
    <row r="160">
      <c r="A160" s="7" t="n">
        <v>158</v>
      </c>
      <c r="B160" s="8" t="inlineStr">
        <is>
          <t>23/02/2027</t>
        </is>
      </c>
      <c r="C160" s="8" t="inlineStr">
        <is>
          <t>Terça-feira</t>
        </is>
      </c>
      <c r="D160" s="7" t="n">
        <v>6</v>
      </c>
      <c r="E160" s="8" t="inlineStr">
        <is>
          <t>09h30–09h45</t>
        </is>
      </c>
      <c r="F160" s="8" t="inlineStr">
        <is>
          <t>Intervalo</t>
        </is>
      </c>
      <c r="G160" s="9" t="inlineStr">
        <is>
          <t>—</t>
        </is>
      </c>
      <c r="H160" s="10" t="inlineStr">
        <is>
          <t>—</t>
        </is>
      </c>
      <c r="I160" s="10" t="inlineStr">
        <is>
          <t>Intervalo regulamentar</t>
        </is>
      </c>
      <c r="J160" s="8" t="inlineStr">
        <is>
          <t>—</t>
        </is>
      </c>
      <c r="K160" s="7" t="inlineStr">
        <is>
          <t>—</t>
        </is>
      </c>
      <c r="L160" s="7" t="n">
        <v>15</v>
      </c>
    </row>
    <row r="161">
      <c r="A161" s="11" t="n">
        <v>159</v>
      </c>
      <c r="B161" s="12" t="inlineStr">
        <is>
          <t>23/02/2027</t>
        </is>
      </c>
      <c r="C161" s="12" t="inlineStr">
        <is>
          <t>Terça-feira</t>
        </is>
      </c>
      <c r="D161" s="11" t="n">
        <v>6</v>
      </c>
      <c r="E161" s="12" t="inlineStr">
        <is>
          <t>09h45–11h15</t>
        </is>
      </c>
      <c r="F161" s="12" t="inlineStr">
        <is>
          <t>2.º tempo lectivo</t>
        </is>
      </c>
      <c r="G161" s="13" t="inlineStr">
        <is>
          <t>UEPS</t>
        </is>
      </c>
      <c r="H161" s="14" t="inlineStr">
        <is>
          <t>UVI — Emergências clínicas</t>
        </is>
      </c>
      <c r="I161" s="14" t="inlineStr">
        <is>
          <t>Malária grave e desidratação grave em contexto de urgência; hipoglicemia e cetoacidose · Treino prático supervisionado e estudo de caso</t>
        </is>
      </c>
      <c r="J161" s="12" t="inlineStr">
        <is>
          <t>Prof. Manuel Jorge Weber</t>
        </is>
      </c>
      <c r="K161" s="11" t="inlineStr">
        <is>
          <t>P</t>
        </is>
      </c>
      <c r="L161" s="11" t="n">
        <v>90</v>
      </c>
    </row>
    <row r="162">
      <c r="A162" s="3" t="n">
        <v>160</v>
      </c>
      <c r="B162" s="4" t="inlineStr">
        <is>
          <t>23/02/2027</t>
        </is>
      </c>
      <c r="C162" s="4" t="inlineStr">
        <is>
          <t>Terça-feira</t>
        </is>
      </c>
      <c r="D162" s="3" t="n">
        <v>6</v>
      </c>
      <c r="E162" s="4" t="inlineStr">
        <is>
          <t>11h15–12h15</t>
        </is>
      </c>
      <c r="F162" s="4" t="inlineStr">
        <is>
          <t>Bloco complementar</t>
        </is>
      </c>
      <c r="G162" s="5" t="inlineStr">
        <is>
          <t>EMC</t>
        </is>
      </c>
      <c r="H162" s="6" t="inlineStr">
        <is>
          <t>UVI — Doente crítico, choque e enfermagem perioperatória</t>
        </is>
      </c>
      <c r="I162" s="6" t="inlineStr">
        <is>
          <t>Teste escrito 2 (Unidades IV a VI) e correcção comentada · Realização da prova escrita e correcção comentada</t>
        </is>
      </c>
      <c r="J162" s="4" t="inlineStr">
        <is>
          <t>Prof. Manuel Jorge Weber</t>
        </is>
      </c>
      <c r="K162" s="3" t="inlineStr">
        <is>
          <t>Avaliação escrita</t>
        </is>
      </c>
      <c r="L162" s="3" t="n">
        <v>60</v>
      </c>
    </row>
    <row r="163">
      <c r="A163" s="19" t="n">
        <v>161</v>
      </c>
      <c r="B163" s="20" t="inlineStr">
        <is>
          <t>25/02/2027</t>
        </is>
      </c>
      <c r="C163" s="20" t="inlineStr">
        <is>
          <t>Quinta-feira</t>
        </is>
      </c>
      <c r="D163" s="19" t="n">
        <v>6</v>
      </c>
      <c r="E163" s="20" t="inlineStr">
        <is>
          <t>08h00–09h30</t>
        </is>
      </c>
      <c r="F163" s="20" t="inlineStr">
        <is>
          <t>1.º tempo lectivo</t>
        </is>
      </c>
      <c r="G163" s="21" t="inlineStr">
        <is>
          <t>EPSC</t>
        </is>
      </c>
      <c r="H163" s="22" t="inlineStr">
        <is>
          <t>UVI — Drepanocitose, febre e emergências pediátricas</t>
        </is>
      </c>
      <c r="I163" s="22" t="inlineStr">
        <is>
          <t>Febre na criança e convulsão febril; doenças exantemáticas e medidas de isolamento · Enquadramento teórico e demonstração da técnica</t>
        </is>
      </c>
      <c r="J163" s="20" t="inlineStr">
        <is>
          <t>Prof. Eduardo David</t>
        </is>
      </c>
      <c r="K163" s="19" t="inlineStr">
        <is>
          <t>TP</t>
        </is>
      </c>
      <c r="L163" s="19" t="n">
        <v>90</v>
      </c>
    </row>
    <row r="164">
      <c r="A164" s="7" t="n">
        <v>162</v>
      </c>
      <c r="B164" s="8" t="inlineStr">
        <is>
          <t>25/02/2027</t>
        </is>
      </c>
      <c r="C164" s="8" t="inlineStr">
        <is>
          <t>Quinta-feira</t>
        </is>
      </c>
      <c r="D164" s="7" t="n">
        <v>6</v>
      </c>
      <c r="E164" s="8" t="inlineStr">
        <is>
          <t>09h30–09h45</t>
        </is>
      </c>
      <c r="F164" s="8" t="inlineStr">
        <is>
          <t>Intervalo</t>
        </is>
      </c>
      <c r="G164" s="9" t="inlineStr">
        <is>
          <t>—</t>
        </is>
      </c>
      <c r="H164" s="10" t="inlineStr">
        <is>
          <t>—</t>
        </is>
      </c>
      <c r="I164" s="10" t="inlineStr">
        <is>
          <t>Intervalo regulamentar</t>
        </is>
      </c>
      <c r="J164" s="8" t="inlineStr">
        <is>
          <t>—</t>
        </is>
      </c>
      <c r="K164" s="7" t="inlineStr">
        <is>
          <t>—</t>
        </is>
      </c>
      <c r="L164" s="7" t="n">
        <v>15</v>
      </c>
    </row>
    <row r="165">
      <c r="A165" s="19" t="n">
        <v>163</v>
      </c>
      <c r="B165" s="20" t="inlineStr">
        <is>
          <t>25/02/2027</t>
        </is>
      </c>
      <c r="C165" s="20" t="inlineStr">
        <is>
          <t>Quinta-feira</t>
        </is>
      </c>
      <c r="D165" s="19" t="n">
        <v>6</v>
      </c>
      <c r="E165" s="20" t="inlineStr">
        <is>
          <t>09h45–11h15</t>
        </is>
      </c>
      <c r="F165" s="20" t="inlineStr">
        <is>
          <t>2.º tempo lectivo</t>
        </is>
      </c>
      <c r="G165" s="21" t="inlineStr">
        <is>
          <t>EPSC</t>
        </is>
      </c>
      <c r="H165" s="22" t="inlineStr">
        <is>
          <t>UVI — Drepanocitose, febre e emergências pediátricas</t>
        </is>
      </c>
      <c r="I165" s="22" t="inlineStr">
        <is>
          <t>Febre na criança e convulsão febril; doenças exantemáticas e medidas de isolamento · Treino prático supervisionado e estudo de caso</t>
        </is>
      </c>
      <c r="J165" s="20" t="inlineStr">
        <is>
          <t>Prof. Eduardo David</t>
        </is>
      </c>
      <c r="K165" s="19" t="inlineStr">
        <is>
          <t>P</t>
        </is>
      </c>
      <c r="L165" s="19" t="n">
        <v>90</v>
      </c>
    </row>
    <row r="166">
      <c r="A166" s="15" t="n">
        <v>164</v>
      </c>
      <c r="B166" s="16" t="inlineStr">
        <is>
          <t>25/02/2027</t>
        </is>
      </c>
      <c r="C166" s="16" t="inlineStr">
        <is>
          <t>Quinta-feira</t>
        </is>
      </c>
      <c r="D166" s="15" t="n">
        <v>6</v>
      </c>
      <c r="E166" s="16" t="inlineStr">
        <is>
          <t>11h15–12h15</t>
        </is>
      </c>
      <c r="F166" s="16" t="inlineStr">
        <is>
          <t>Bloco complementar</t>
        </is>
      </c>
      <c r="G166" s="17" t="inlineStr">
        <is>
          <t>SMON</t>
        </is>
      </c>
      <c r="H166" s="18" t="inlineStr">
        <is>
          <t>UVI — Emergências obstétricas</t>
        </is>
      </c>
      <c r="I166" s="18" t="inlineStr">
        <is>
          <t>Teste escrito 2 (Unidades IV a VI) e correcção comentada · Realização da prova escrita e correcção comentada</t>
        </is>
      </c>
      <c r="J166" s="16" t="inlineStr">
        <is>
          <t>Prof. Eduardo David</t>
        </is>
      </c>
      <c r="K166" s="15" t="inlineStr">
        <is>
          <t>Avaliação escrita</t>
        </is>
      </c>
      <c r="L166" s="15" t="n">
        <v>60</v>
      </c>
    </row>
    <row r="167">
      <c r="A167" s="3" t="n">
        <v>165</v>
      </c>
      <c r="B167" s="4" t="inlineStr">
        <is>
          <t>02/03/2027</t>
        </is>
      </c>
      <c r="C167" s="4" t="inlineStr">
        <is>
          <t>Terça-feira</t>
        </is>
      </c>
      <c r="D167" s="3" t="n">
        <v>6</v>
      </c>
      <c r="E167" s="4" t="inlineStr">
        <is>
          <t>08h00–09h30</t>
        </is>
      </c>
      <c r="F167" s="4" t="inlineStr">
        <is>
          <t>1.º tempo lectivo</t>
        </is>
      </c>
      <c r="G167" s="5" t="inlineStr">
        <is>
          <t>EMC</t>
        </is>
      </c>
      <c r="H167" s="6" t="inlineStr">
        <is>
          <t>UVI — Doente crítico, choque e enfermagem perioperatória</t>
        </is>
      </c>
      <c r="I167" s="6" t="inlineStr">
        <is>
          <t>Enfermagem perioperatória: preparação pré-operatória, lista de verificação de segurança cirúrgica e cuidados pós-operatórios · Enquadramento teórico e demonstração da técnica</t>
        </is>
      </c>
      <c r="J167" s="4" t="inlineStr">
        <is>
          <t>Prof. Manuel Jorge Weber</t>
        </is>
      </c>
      <c r="K167" s="3" t="inlineStr">
        <is>
          <t>TP</t>
        </is>
      </c>
      <c r="L167" s="3" t="n">
        <v>90</v>
      </c>
    </row>
    <row r="168">
      <c r="A168" s="7" t="n">
        <v>166</v>
      </c>
      <c r="B168" s="8" t="inlineStr">
        <is>
          <t>02/03/2027</t>
        </is>
      </c>
      <c r="C168" s="8" t="inlineStr">
        <is>
          <t>Terça-feira</t>
        </is>
      </c>
      <c r="D168" s="7" t="n">
        <v>6</v>
      </c>
      <c r="E168" s="8" t="inlineStr">
        <is>
          <t>09h30–09h45</t>
        </is>
      </c>
      <c r="F168" s="8" t="inlineStr">
        <is>
          <t>Intervalo</t>
        </is>
      </c>
      <c r="G168" s="9" t="inlineStr">
        <is>
          <t>—</t>
        </is>
      </c>
      <c r="H168" s="10" t="inlineStr">
        <is>
          <t>—</t>
        </is>
      </c>
      <c r="I168" s="10" t="inlineStr">
        <is>
          <t>Intervalo regulamentar</t>
        </is>
      </c>
      <c r="J168" s="8" t="inlineStr">
        <is>
          <t>—</t>
        </is>
      </c>
      <c r="K168" s="7" t="inlineStr">
        <is>
          <t>—</t>
        </is>
      </c>
      <c r="L168" s="7" t="n">
        <v>15</v>
      </c>
    </row>
    <row r="169">
      <c r="A169" s="3" t="n">
        <v>167</v>
      </c>
      <c r="B169" s="4" t="inlineStr">
        <is>
          <t>02/03/2027</t>
        </is>
      </c>
      <c r="C169" s="4" t="inlineStr">
        <is>
          <t>Terça-feira</t>
        </is>
      </c>
      <c r="D169" s="3" t="n">
        <v>6</v>
      </c>
      <c r="E169" s="4" t="inlineStr">
        <is>
          <t>09h45–11h15</t>
        </is>
      </c>
      <c r="F169" s="4" t="inlineStr">
        <is>
          <t>2.º tempo lectivo</t>
        </is>
      </c>
      <c r="G169" s="5" t="inlineStr">
        <is>
          <t>EMC</t>
        </is>
      </c>
      <c r="H169" s="6" t="inlineStr">
        <is>
          <t>UVI — Doente crítico, choque e enfermagem perioperatória</t>
        </is>
      </c>
      <c r="I169" s="6" t="inlineStr">
        <is>
          <t>Enfermagem perioperatória: preparação pré-operatória, lista de verificação de segurança cirúrgica e cuidados pós-operatórios · Treino prático supervisionado e estudo de caso</t>
        </is>
      </c>
      <c r="J169" s="4" t="inlineStr">
        <is>
          <t>Prof. Manuel Jorge Weber</t>
        </is>
      </c>
      <c r="K169" s="3" t="inlineStr">
        <is>
          <t>P</t>
        </is>
      </c>
      <c r="L169" s="3" t="n">
        <v>90</v>
      </c>
    </row>
    <row r="170">
      <c r="A170" s="11" t="n">
        <v>168</v>
      </c>
      <c r="B170" s="12" t="inlineStr">
        <is>
          <t>02/03/2027</t>
        </is>
      </c>
      <c r="C170" s="12" t="inlineStr">
        <is>
          <t>Terça-feira</t>
        </is>
      </c>
      <c r="D170" s="11" t="n">
        <v>6</v>
      </c>
      <c r="E170" s="12" t="inlineStr">
        <is>
          <t>11h15–12h15</t>
        </is>
      </c>
      <c r="F170" s="12" t="inlineStr">
        <is>
          <t>Bloco complementar</t>
        </is>
      </c>
      <c r="G170" s="13" t="inlineStr">
        <is>
          <t>UEPS</t>
        </is>
      </c>
      <c r="H170" s="14" t="inlineStr">
        <is>
          <t>UVI — Emergências clínicas</t>
        </is>
      </c>
      <c r="I170" s="14" t="inlineStr">
        <is>
          <t>Teste escrito 2 (Unidades IV a VI) e correcção comentada · Realização da prova escrita e correcção comentada</t>
        </is>
      </c>
      <c r="J170" s="12" t="inlineStr">
        <is>
          <t>Prof. Manuel Jorge Weber</t>
        </is>
      </c>
      <c r="K170" s="11" t="inlineStr">
        <is>
          <t>Avaliação escrita</t>
        </is>
      </c>
      <c r="L170" s="11" t="n">
        <v>60</v>
      </c>
    </row>
    <row r="171">
      <c r="A171" s="23" t="n">
        <v>169</v>
      </c>
      <c r="B171" s="24" t="inlineStr">
        <is>
          <t>04/03/2027</t>
        </is>
      </c>
      <c r="C171" s="24" t="inlineStr">
        <is>
          <t>Quinta-feira</t>
        </is>
      </c>
      <c r="D171" s="23" t="n">
        <v>6</v>
      </c>
      <c r="E171" s="24" t="inlineStr">
        <is>
          <t>08h00–09h30</t>
        </is>
      </c>
      <c r="F171" s="24" t="inlineStr">
        <is>
          <t>1.º tempo</t>
        </is>
      </c>
      <c r="G171" s="25" t="inlineStr">
        <is>
          <t>SEM</t>
        </is>
      </c>
      <c r="H171" s="26" t="inlineStr">
        <is>
          <t>Seminário 6 — Psicologia II</t>
        </is>
      </c>
      <c r="I171" s="26" t="inlineStr">
        <is>
          <t>Módulo 1 — Stress e burnout do profissional; luto; comunicação de más notícias</t>
        </is>
      </c>
      <c r="J171" s="24" t="inlineStr">
        <is>
          <t>Formador(a) convidado(a)</t>
        </is>
      </c>
      <c r="K171" s="23" t="inlineStr">
        <is>
          <t>T</t>
        </is>
      </c>
      <c r="L171" s="23" t="n">
        <v>90</v>
      </c>
    </row>
    <row r="172">
      <c r="A172" s="7" t="n">
        <v>170</v>
      </c>
      <c r="B172" s="8" t="inlineStr">
        <is>
          <t>04/03/2027</t>
        </is>
      </c>
      <c r="C172" s="8" t="inlineStr">
        <is>
          <t>Quinta-feira</t>
        </is>
      </c>
      <c r="D172" s="7" t="n">
        <v>6</v>
      </c>
      <c r="E172" s="8" t="inlineStr">
        <is>
          <t>09h30–09h45</t>
        </is>
      </c>
      <c r="F172" s="8" t="inlineStr">
        <is>
          <t>Intervalo</t>
        </is>
      </c>
      <c r="G172" s="9" t="inlineStr">
        <is>
          <t>—</t>
        </is>
      </c>
      <c r="H172" s="10" t="inlineStr">
        <is>
          <t>—</t>
        </is>
      </c>
      <c r="I172" s="10" t="inlineStr">
        <is>
          <t>Intervalo regulamentar</t>
        </is>
      </c>
      <c r="J172" s="8" t="inlineStr">
        <is>
          <t>—</t>
        </is>
      </c>
      <c r="K172" s="7" t="inlineStr">
        <is>
          <t>—</t>
        </is>
      </c>
      <c r="L172" s="7" t="n">
        <v>15</v>
      </c>
    </row>
    <row r="173">
      <c r="A173" s="23" t="n">
        <v>171</v>
      </c>
      <c r="B173" s="24" t="inlineStr">
        <is>
          <t>04/03/2027</t>
        </is>
      </c>
      <c r="C173" s="24" t="inlineStr">
        <is>
          <t>Quinta-feira</t>
        </is>
      </c>
      <c r="D173" s="23" t="n">
        <v>6</v>
      </c>
      <c r="E173" s="24" t="inlineStr">
        <is>
          <t>09h45–11h15</t>
        </is>
      </c>
      <c r="F173" s="24" t="inlineStr">
        <is>
          <t>2.º tempo</t>
        </is>
      </c>
      <c r="G173" s="25" t="inlineStr">
        <is>
          <t>SEM</t>
        </is>
      </c>
      <c r="H173" s="26" t="inlineStr">
        <is>
          <t>Seminário 6 — Psicologia II</t>
        </is>
      </c>
      <c r="I173" s="26" t="inlineStr">
        <is>
          <t>Módulo 2 — Stress e burnout do profissional; luto; comunicação de más notícias</t>
        </is>
      </c>
      <c r="J173" s="24" t="inlineStr">
        <is>
          <t>Formador(a) convidado(a)</t>
        </is>
      </c>
      <c r="K173" s="23" t="inlineStr">
        <is>
          <t>T</t>
        </is>
      </c>
      <c r="L173" s="23" t="n">
        <v>90</v>
      </c>
    </row>
    <row r="174">
      <c r="A174" s="23" t="n">
        <v>172</v>
      </c>
      <c r="B174" s="24" t="inlineStr">
        <is>
          <t>04/03/2027</t>
        </is>
      </c>
      <c r="C174" s="24" t="inlineStr">
        <is>
          <t>Quinta-feira</t>
        </is>
      </c>
      <c r="D174" s="23" t="n">
        <v>6</v>
      </c>
      <c r="E174" s="24" t="inlineStr">
        <is>
          <t>11h15–12h15</t>
        </is>
      </c>
      <c r="F174" s="24" t="inlineStr">
        <is>
          <t>Bloco complementar</t>
        </is>
      </c>
      <c r="G174" s="25" t="inlineStr">
        <is>
          <t>SEM</t>
        </is>
      </c>
      <c r="H174" s="26" t="inlineStr">
        <is>
          <t>Seminário 6 — Psicologia II</t>
        </is>
      </c>
      <c r="I174" s="26" t="inlineStr">
        <is>
          <t>Oficina e ficha-síntese de participação</t>
        </is>
      </c>
      <c r="J174" s="24" t="inlineStr">
        <is>
          <t>Formador(a) convidado(a)</t>
        </is>
      </c>
      <c r="K174" s="23" t="inlineStr">
        <is>
          <t>P</t>
        </is>
      </c>
      <c r="L174" s="23" t="n">
        <v>60</v>
      </c>
    </row>
    <row r="175">
      <c r="A175" s="11" t="n">
        <v>173</v>
      </c>
      <c r="B175" s="12" t="inlineStr">
        <is>
          <t>09/03/2027</t>
        </is>
      </c>
      <c r="C175" s="12" t="inlineStr">
        <is>
          <t>Terça-feira</t>
        </is>
      </c>
      <c r="D175" s="11" t="n">
        <v>6</v>
      </c>
      <c r="E175" s="12" t="inlineStr">
        <is>
          <t>08h00–09h30</t>
        </is>
      </c>
      <c r="F175" s="12" t="inlineStr">
        <is>
          <t>1.º tempo lectivo</t>
        </is>
      </c>
      <c r="G175" s="13" t="inlineStr">
        <is>
          <t>UEPS</t>
        </is>
      </c>
      <c r="H175" s="14" t="inlineStr">
        <is>
          <t>UVI — Emergências clínicas</t>
        </is>
      </c>
      <c r="I175" s="14" t="inlineStr">
        <is>
          <t>Anafilaxia, crise asmática e insuficiência respiratória aguda: reconhecimento e actuação imediata · Enquadramento teórico e demonstração da técnica</t>
        </is>
      </c>
      <c r="J175" s="12" t="inlineStr">
        <is>
          <t>Prof. Manuel Jorge Weber</t>
        </is>
      </c>
      <c r="K175" s="11" t="inlineStr">
        <is>
          <t>TP</t>
        </is>
      </c>
      <c r="L175" s="11" t="n">
        <v>90</v>
      </c>
    </row>
    <row r="176">
      <c r="A176" s="7" t="n">
        <v>174</v>
      </c>
      <c r="B176" s="8" t="inlineStr">
        <is>
          <t>09/03/2027</t>
        </is>
      </c>
      <c r="C176" s="8" t="inlineStr">
        <is>
          <t>Terça-feira</t>
        </is>
      </c>
      <c r="D176" s="7" t="n">
        <v>6</v>
      </c>
      <c r="E176" s="8" t="inlineStr">
        <is>
          <t>09h30–09h45</t>
        </is>
      </c>
      <c r="F176" s="8" t="inlineStr">
        <is>
          <t>Intervalo</t>
        </is>
      </c>
      <c r="G176" s="9" t="inlineStr">
        <is>
          <t>—</t>
        </is>
      </c>
      <c r="H176" s="10" t="inlineStr">
        <is>
          <t>—</t>
        </is>
      </c>
      <c r="I176" s="10" t="inlineStr">
        <is>
          <t>Intervalo regulamentar</t>
        </is>
      </c>
      <c r="J176" s="8" t="inlineStr">
        <is>
          <t>—</t>
        </is>
      </c>
      <c r="K176" s="7" t="inlineStr">
        <is>
          <t>—</t>
        </is>
      </c>
      <c r="L176" s="7" t="n">
        <v>15</v>
      </c>
    </row>
    <row r="177">
      <c r="A177" s="11" t="n">
        <v>175</v>
      </c>
      <c r="B177" s="12" t="inlineStr">
        <is>
          <t>09/03/2027</t>
        </is>
      </c>
      <c r="C177" s="12" t="inlineStr">
        <is>
          <t>Terça-feira</t>
        </is>
      </c>
      <c r="D177" s="11" t="n">
        <v>6</v>
      </c>
      <c r="E177" s="12" t="inlineStr">
        <is>
          <t>09h45–11h15</t>
        </is>
      </c>
      <c r="F177" s="12" t="inlineStr">
        <is>
          <t>2.º tempo lectivo</t>
        </is>
      </c>
      <c r="G177" s="13" t="inlineStr">
        <is>
          <t>UEPS</t>
        </is>
      </c>
      <c r="H177" s="14" t="inlineStr">
        <is>
          <t>UVI — Emergências clínicas</t>
        </is>
      </c>
      <c r="I177" s="14" t="inlineStr">
        <is>
          <t>Anafilaxia, crise asmática e insuficiência respiratória aguda: reconhecimento e actuação imediata · Treino prático supervisionado e estudo de caso</t>
        </is>
      </c>
      <c r="J177" s="12" t="inlineStr">
        <is>
          <t>Prof. Manuel Jorge Weber</t>
        </is>
      </c>
      <c r="K177" s="11" t="inlineStr">
        <is>
          <t>P</t>
        </is>
      </c>
      <c r="L177" s="11" t="n">
        <v>90</v>
      </c>
    </row>
    <row r="178">
      <c r="A178" s="3" t="n">
        <v>176</v>
      </c>
      <c r="B178" s="4" t="inlineStr">
        <is>
          <t>09/03/2027</t>
        </is>
      </c>
      <c r="C178" s="4" t="inlineStr">
        <is>
          <t>Terça-feira</t>
        </is>
      </c>
      <c r="D178" s="3" t="n">
        <v>6</v>
      </c>
      <c r="E178" s="4" t="inlineStr">
        <is>
          <t>11h15–12h15</t>
        </is>
      </c>
      <c r="F178" s="4" t="inlineStr">
        <is>
          <t>Bloco complementar</t>
        </is>
      </c>
      <c r="G178" s="5" t="inlineStr">
        <is>
          <t>EMC</t>
        </is>
      </c>
      <c r="H178" s="6" t="inlineStr">
        <is>
          <t>UVI — Doente crítico, choque e enfermagem perioperatória</t>
        </is>
      </c>
      <c r="I178" s="6" t="inlineStr">
        <is>
          <t>Complicações pós-operatórias: deiscência, infecção do local cirúrgico e prevenção de tromboembolismo · Exposição e discussão dirigida</t>
        </is>
      </c>
      <c r="J178" s="4" t="inlineStr">
        <is>
          <t>Prof. Manuel Jorge Weber</t>
        </is>
      </c>
      <c r="K178" s="3" t="inlineStr">
        <is>
          <t>T</t>
        </is>
      </c>
      <c r="L178" s="3" t="n">
        <v>60</v>
      </c>
    </row>
    <row r="179">
      <c r="A179" s="15" t="n">
        <v>177</v>
      </c>
      <c r="B179" s="16" t="inlineStr">
        <is>
          <t>11/03/2027</t>
        </is>
      </c>
      <c r="C179" s="16" t="inlineStr">
        <is>
          <t>Quinta-feira</t>
        </is>
      </c>
      <c r="D179" s="15" t="n">
        <v>6</v>
      </c>
      <c r="E179" s="16" t="inlineStr">
        <is>
          <t>08h00–09h30</t>
        </is>
      </c>
      <c r="F179" s="16" t="inlineStr">
        <is>
          <t>1.º tempo lectivo</t>
        </is>
      </c>
      <c r="G179" s="17" t="inlineStr">
        <is>
          <t>SMON</t>
        </is>
      </c>
      <c r="H179" s="18" t="inlineStr">
        <is>
          <t>UVI — Emergências obstétricas</t>
        </is>
      </c>
      <c r="I179" s="18" t="inlineStr">
        <is>
          <t>Hemorragia pós-parto e sépsis materna: massagem uterina, compressão bimanual e uterotónicos sob supervisão · Demonstração da técnica e critérios de execução</t>
        </is>
      </c>
      <c r="J179" s="16" t="inlineStr">
        <is>
          <t>Prof. Eduardo David</t>
        </is>
      </c>
      <c r="K179" s="15" t="inlineStr">
        <is>
          <t>P</t>
        </is>
      </c>
      <c r="L179" s="15" t="n">
        <v>90</v>
      </c>
    </row>
    <row r="180">
      <c r="A180" s="7" t="n">
        <v>178</v>
      </c>
      <c r="B180" s="8" t="inlineStr">
        <is>
          <t>11/03/2027</t>
        </is>
      </c>
      <c r="C180" s="8" t="inlineStr">
        <is>
          <t>Quinta-feira</t>
        </is>
      </c>
      <c r="D180" s="7" t="n">
        <v>6</v>
      </c>
      <c r="E180" s="8" t="inlineStr">
        <is>
          <t>09h30–09h45</t>
        </is>
      </c>
      <c r="F180" s="8" t="inlineStr">
        <is>
          <t>Intervalo</t>
        </is>
      </c>
      <c r="G180" s="9" t="inlineStr">
        <is>
          <t>—</t>
        </is>
      </c>
      <c r="H180" s="10" t="inlineStr">
        <is>
          <t>—</t>
        </is>
      </c>
      <c r="I180" s="10" t="inlineStr">
        <is>
          <t>Intervalo regulamentar</t>
        </is>
      </c>
      <c r="J180" s="8" t="inlineStr">
        <is>
          <t>—</t>
        </is>
      </c>
      <c r="K180" s="7" t="inlineStr">
        <is>
          <t>—</t>
        </is>
      </c>
      <c r="L180" s="7" t="n">
        <v>15</v>
      </c>
    </row>
    <row r="181">
      <c r="A181" s="15" t="n">
        <v>179</v>
      </c>
      <c r="B181" s="16" t="inlineStr">
        <is>
          <t>11/03/2027</t>
        </is>
      </c>
      <c r="C181" s="16" t="inlineStr">
        <is>
          <t>Quinta-feira</t>
        </is>
      </c>
      <c r="D181" s="15" t="n">
        <v>6</v>
      </c>
      <c r="E181" s="16" t="inlineStr">
        <is>
          <t>09h45–11h15</t>
        </is>
      </c>
      <c r="F181" s="16" t="inlineStr">
        <is>
          <t>2.º tempo lectivo</t>
        </is>
      </c>
      <c r="G181" s="17" t="inlineStr">
        <is>
          <t>SMON</t>
        </is>
      </c>
      <c r="H181" s="18" t="inlineStr">
        <is>
          <t>UVI — Emergências obstétricas</t>
        </is>
      </c>
      <c r="I181" s="18" t="inlineStr">
        <is>
          <t>Hemorragia pós-parto e sépsis materna: massagem uterina, compressão bimanual e uterotónicos sob supervisão · Treino prático em estações com correcção individual</t>
        </is>
      </c>
      <c r="J181" s="16" t="inlineStr">
        <is>
          <t>Prof. Eduardo David</t>
        </is>
      </c>
      <c r="K181" s="15" t="inlineStr">
        <is>
          <t>P</t>
        </is>
      </c>
      <c r="L181" s="15" t="n">
        <v>90</v>
      </c>
    </row>
    <row r="182">
      <c r="A182" s="19" t="n">
        <v>180</v>
      </c>
      <c r="B182" s="20" t="inlineStr">
        <is>
          <t>11/03/2027</t>
        </is>
      </c>
      <c r="C182" s="20" t="inlineStr">
        <is>
          <t>Quinta-feira</t>
        </is>
      </c>
      <c r="D182" s="19" t="n">
        <v>6</v>
      </c>
      <c r="E182" s="20" t="inlineStr">
        <is>
          <t>11h15–12h15</t>
        </is>
      </c>
      <c r="F182" s="20" t="inlineStr">
        <is>
          <t>Bloco complementar</t>
        </is>
      </c>
      <c r="G182" s="21" t="inlineStr">
        <is>
          <t>EPSC</t>
        </is>
      </c>
      <c r="H182" s="22" t="inlineStr">
        <is>
          <t>UVI — Drepanocitose, febre e emergências pediátricas</t>
        </is>
      </c>
      <c r="I182" s="22" t="inlineStr">
        <is>
          <t>Teste escrito 2 (Unidades IV a VI) e correcção comentada · Realização da prova escrita e correcção comentada</t>
        </is>
      </c>
      <c r="J182" s="20" t="inlineStr">
        <is>
          <t>Prof. Eduardo David</t>
        </is>
      </c>
      <c r="K182" s="19" t="inlineStr">
        <is>
          <t>Avaliação escrita</t>
        </is>
      </c>
      <c r="L182" s="19" t="n">
        <v>60</v>
      </c>
    </row>
    <row r="183">
      <c r="A183" s="3" t="n">
        <v>181</v>
      </c>
      <c r="B183" s="4" t="inlineStr">
        <is>
          <t>16/03/2027</t>
        </is>
      </c>
      <c r="C183" s="4" t="inlineStr">
        <is>
          <t>Terça-feira</t>
        </is>
      </c>
      <c r="D183" s="3" t="n">
        <v>7</v>
      </c>
      <c r="E183" s="4" t="inlineStr">
        <is>
          <t>08h00–09h30</t>
        </is>
      </c>
      <c r="F183" s="4" t="inlineStr">
        <is>
          <t>1.º tempo lectivo</t>
        </is>
      </c>
      <c r="G183" s="5" t="inlineStr">
        <is>
          <t>EMC</t>
        </is>
      </c>
      <c r="H183" s="6" t="inlineStr">
        <is>
          <t>UVII — Integração em casos clínicos do adulto</t>
        </is>
      </c>
      <c r="I183" s="6" t="inlineStr">
        <is>
          <t>Caso integrado: adulto com malária grave e desidratação — articulação com UEPS · Demonstração da técnica e critérios de execução</t>
        </is>
      </c>
      <c r="J183" s="4" t="inlineStr">
        <is>
          <t>Prof. Manuel Jorge Weber</t>
        </is>
      </c>
      <c r="K183" s="3" t="inlineStr">
        <is>
          <t>P</t>
        </is>
      </c>
      <c r="L183" s="3" t="n">
        <v>90</v>
      </c>
    </row>
    <row r="184">
      <c r="A184" s="7" t="n">
        <v>182</v>
      </c>
      <c r="B184" s="8" t="inlineStr">
        <is>
          <t>16/03/2027</t>
        </is>
      </c>
      <c r="C184" s="8" t="inlineStr">
        <is>
          <t>Terça-feira</t>
        </is>
      </c>
      <c r="D184" s="7" t="n">
        <v>7</v>
      </c>
      <c r="E184" s="8" t="inlineStr">
        <is>
          <t>09h30–09h45</t>
        </is>
      </c>
      <c r="F184" s="8" t="inlineStr">
        <is>
          <t>Intervalo</t>
        </is>
      </c>
      <c r="G184" s="9" t="inlineStr">
        <is>
          <t>—</t>
        </is>
      </c>
      <c r="H184" s="10" t="inlineStr">
        <is>
          <t>—</t>
        </is>
      </c>
      <c r="I184" s="10" t="inlineStr">
        <is>
          <t>Intervalo regulamentar</t>
        </is>
      </c>
      <c r="J184" s="8" t="inlineStr">
        <is>
          <t>—</t>
        </is>
      </c>
      <c r="K184" s="7" t="inlineStr">
        <is>
          <t>—</t>
        </is>
      </c>
      <c r="L184" s="7" t="n">
        <v>15</v>
      </c>
    </row>
    <row r="185">
      <c r="A185" s="3" t="n">
        <v>183</v>
      </c>
      <c r="B185" s="4" t="inlineStr">
        <is>
          <t>16/03/2027</t>
        </is>
      </c>
      <c r="C185" s="4" t="inlineStr">
        <is>
          <t>Terça-feira</t>
        </is>
      </c>
      <c r="D185" s="3" t="n">
        <v>7</v>
      </c>
      <c r="E185" s="4" t="inlineStr">
        <is>
          <t>09h45–11h15</t>
        </is>
      </c>
      <c r="F185" s="4" t="inlineStr">
        <is>
          <t>2.º tempo lectivo</t>
        </is>
      </c>
      <c r="G185" s="5" t="inlineStr">
        <is>
          <t>EMC</t>
        </is>
      </c>
      <c r="H185" s="6" t="inlineStr">
        <is>
          <t>UVII — Integração em casos clínicos do adulto</t>
        </is>
      </c>
      <c r="I185" s="6" t="inlineStr">
        <is>
          <t>Caso integrado: adulto com malária grave e desidratação — articulação com UEPS · Treino prático em estações com correcção individual</t>
        </is>
      </c>
      <c r="J185" s="4" t="inlineStr">
        <is>
          <t>Prof. Manuel Jorge Weber</t>
        </is>
      </c>
      <c r="K185" s="3" t="inlineStr">
        <is>
          <t>P</t>
        </is>
      </c>
      <c r="L185" s="3" t="n">
        <v>90</v>
      </c>
    </row>
    <row r="186">
      <c r="A186" s="11" t="n">
        <v>184</v>
      </c>
      <c r="B186" s="12" t="inlineStr">
        <is>
          <t>16/03/2027</t>
        </is>
      </c>
      <c r="C186" s="12" t="inlineStr">
        <is>
          <t>Terça-feira</t>
        </is>
      </c>
      <c r="D186" s="11" t="n">
        <v>7</v>
      </c>
      <c r="E186" s="12" t="inlineStr">
        <is>
          <t>11h15–12h15</t>
        </is>
      </c>
      <c r="F186" s="12" t="inlineStr">
        <is>
          <t>Bloco complementar</t>
        </is>
      </c>
      <c r="G186" s="13" t="inlineStr">
        <is>
          <t>UEPS</t>
        </is>
      </c>
      <c r="H186" s="14" t="inlineStr">
        <is>
          <t>UVII — Emergência colectiva e integração</t>
        </is>
      </c>
      <c r="I186" s="14" t="inlineStr">
        <is>
          <t>Princípios de triagem em situação de multivítimas · Exposição e discussão dirigida</t>
        </is>
      </c>
      <c r="J186" s="12" t="inlineStr">
        <is>
          <t>Prof. Manuel Jorge Weber</t>
        </is>
      </c>
      <c r="K186" s="11" t="inlineStr">
        <is>
          <t>T</t>
        </is>
      </c>
      <c r="L186" s="11" t="n">
        <v>60</v>
      </c>
    </row>
    <row r="187">
      <c r="A187" s="19" t="n">
        <v>185</v>
      </c>
      <c r="B187" s="20" t="inlineStr">
        <is>
          <t>18/03/2027</t>
        </is>
      </c>
      <c r="C187" s="20" t="inlineStr">
        <is>
          <t>Quinta-feira</t>
        </is>
      </c>
      <c r="D187" s="19" t="n">
        <v>7</v>
      </c>
      <c r="E187" s="20" t="inlineStr">
        <is>
          <t>08h00–09h30</t>
        </is>
      </c>
      <c r="F187" s="20" t="inlineStr">
        <is>
          <t>1.º tempo lectivo</t>
        </is>
      </c>
      <c r="G187" s="21" t="inlineStr">
        <is>
          <t>EPSC</t>
        </is>
      </c>
      <c r="H187" s="22" t="inlineStr">
        <is>
          <t>UVII — Terapêutica pediátrica e integração</t>
        </is>
      </c>
      <c r="I187" s="22" t="inlineStr">
        <is>
          <t>Cálculo de doses por peso e dupla verificação; administração por via oral, intramuscular e endovenosa · Demonstração da técnica e critérios de execução</t>
        </is>
      </c>
      <c r="J187" s="20" t="inlineStr">
        <is>
          <t>Prof. Eduardo David</t>
        </is>
      </c>
      <c r="K187" s="19" t="inlineStr">
        <is>
          <t>P</t>
        </is>
      </c>
      <c r="L187" s="19" t="n">
        <v>90</v>
      </c>
    </row>
    <row r="188">
      <c r="A188" s="7" t="n">
        <v>186</v>
      </c>
      <c r="B188" s="8" t="inlineStr">
        <is>
          <t>18/03/2027</t>
        </is>
      </c>
      <c r="C188" s="8" t="inlineStr">
        <is>
          <t>Quinta-feira</t>
        </is>
      </c>
      <c r="D188" s="7" t="n">
        <v>7</v>
      </c>
      <c r="E188" s="8" t="inlineStr">
        <is>
          <t>09h30–09h45</t>
        </is>
      </c>
      <c r="F188" s="8" t="inlineStr">
        <is>
          <t>Intervalo</t>
        </is>
      </c>
      <c r="G188" s="9" t="inlineStr">
        <is>
          <t>—</t>
        </is>
      </c>
      <c r="H188" s="10" t="inlineStr">
        <is>
          <t>—</t>
        </is>
      </c>
      <c r="I188" s="10" t="inlineStr">
        <is>
          <t>Intervalo regulamentar</t>
        </is>
      </c>
      <c r="J188" s="8" t="inlineStr">
        <is>
          <t>—</t>
        </is>
      </c>
      <c r="K188" s="7" t="inlineStr">
        <is>
          <t>—</t>
        </is>
      </c>
      <c r="L188" s="7" t="n">
        <v>15</v>
      </c>
    </row>
    <row r="189">
      <c r="A189" s="19" t="n">
        <v>187</v>
      </c>
      <c r="B189" s="20" t="inlineStr">
        <is>
          <t>18/03/2027</t>
        </is>
      </c>
      <c r="C189" s="20" t="inlineStr">
        <is>
          <t>Quinta-feira</t>
        </is>
      </c>
      <c r="D189" s="19" t="n">
        <v>7</v>
      </c>
      <c r="E189" s="20" t="inlineStr">
        <is>
          <t>09h45–11h15</t>
        </is>
      </c>
      <c r="F189" s="20" t="inlineStr">
        <is>
          <t>2.º tempo lectivo</t>
        </is>
      </c>
      <c r="G189" s="21" t="inlineStr">
        <is>
          <t>EPSC</t>
        </is>
      </c>
      <c r="H189" s="22" t="inlineStr">
        <is>
          <t>UVII — Terapêutica pediátrica e integração</t>
        </is>
      </c>
      <c r="I189" s="22" t="inlineStr">
        <is>
          <t>Cálculo de doses por peso e dupla verificação; administração por via oral, intramuscular e endovenosa · Treino prático em estações com correcção individual</t>
        </is>
      </c>
      <c r="J189" s="20" t="inlineStr">
        <is>
          <t>Prof. Eduardo David</t>
        </is>
      </c>
      <c r="K189" s="19" t="inlineStr">
        <is>
          <t>P</t>
        </is>
      </c>
      <c r="L189" s="19" t="n">
        <v>90</v>
      </c>
    </row>
    <row r="190">
      <c r="A190" s="15" t="n">
        <v>188</v>
      </c>
      <c r="B190" s="16" t="inlineStr">
        <is>
          <t>18/03/2027</t>
        </is>
      </c>
      <c r="C190" s="16" t="inlineStr">
        <is>
          <t>Quinta-feira</t>
        </is>
      </c>
      <c r="D190" s="15" t="n">
        <v>7</v>
      </c>
      <c r="E190" s="16" t="inlineStr">
        <is>
          <t>11h15–12h15</t>
        </is>
      </c>
      <c r="F190" s="16" t="inlineStr">
        <is>
          <t>Bloco complementar</t>
        </is>
      </c>
      <c r="G190" s="17" t="inlineStr">
        <is>
          <t>SMON</t>
        </is>
      </c>
      <c r="H190" s="18" t="inlineStr">
        <is>
          <t>UVII — Enfermagem neonatal</t>
        </is>
      </c>
      <c r="I190" s="18" t="inlineStr">
        <is>
          <t>Cuidados imediatos ao recém-nascido: secagem, contacto pele a pele e índice de Apgar · Demonstração e aplicação prática</t>
        </is>
      </c>
      <c r="J190" s="16" t="inlineStr">
        <is>
          <t>Prof. Eduardo David</t>
        </is>
      </c>
      <c r="K190" s="15" t="inlineStr">
        <is>
          <t>TP</t>
        </is>
      </c>
      <c r="L190" s="15" t="n">
        <v>60</v>
      </c>
    </row>
    <row r="191">
      <c r="A191" s="15" t="n">
        <v>189</v>
      </c>
      <c r="B191" s="16" t="inlineStr">
        <is>
          <t>25/03/2027</t>
        </is>
      </c>
      <c r="C191" s="16" t="inlineStr">
        <is>
          <t>Quinta-feira</t>
        </is>
      </c>
      <c r="D191" s="15" t="n">
        <v>7</v>
      </c>
      <c r="E191" s="16" t="inlineStr">
        <is>
          <t>08h00–09h30</t>
        </is>
      </c>
      <c r="F191" s="16" t="inlineStr">
        <is>
          <t>1.º tempo lectivo</t>
        </is>
      </c>
      <c r="G191" s="17" t="inlineStr">
        <is>
          <t>SMON</t>
        </is>
      </c>
      <c r="H191" s="18" t="inlineStr">
        <is>
          <t>UVII — Enfermagem neonatal</t>
        </is>
      </c>
      <c r="I191" s="18" t="inlineStr">
        <is>
          <t>Reanimação neonatal básica: passos iniciais e ventilação com máscara — treino em manequim · Demonstração da técnica e critérios de execução</t>
        </is>
      </c>
      <c r="J191" s="16" t="inlineStr">
        <is>
          <t>Prof. Eduardo David</t>
        </is>
      </c>
      <c r="K191" s="15" t="inlineStr">
        <is>
          <t>P</t>
        </is>
      </c>
      <c r="L191" s="15" t="n">
        <v>90</v>
      </c>
    </row>
    <row r="192">
      <c r="A192" s="7" t="n">
        <v>190</v>
      </c>
      <c r="B192" s="8" t="inlineStr">
        <is>
          <t>25/03/2027</t>
        </is>
      </c>
      <c r="C192" s="8" t="inlineStr">
        <is>
          <t>Quinta-feira</t>
        </is>
      </c>
      <c r="D192" s="7" t="n">
        <v>7</v>
      </c>
      <c r="E192" s="8" t="inlineStr">
        <is>
          <t>09h30–09h45</t>
        </is>
      </c>
      <c r="F192" s="8" t="inlineStr">
        <is>
          <t>Intervalo</t>
        </is>
      </c>
      <c r="G192" s="9" t="inlineStr">
        <is>
          <t>—</t>
        </is>
      </c>
      <c r="H192" s="10" t="inlineStr">
        <is>
          <t>—</t>
        </is>
      </c>
      <c r="I192" s="10" t="inlineStr">
        <is>
          <t>Intervalo regulamentar</t>
        </is>
      </c>
      <c r="J192" s="8" t="inlineStr">
        <is>
          <t>—</t>
        </is>
      </c>
      <c r="K192" s="7" t="inlineStr">
        <is>
          <t>—</t>
        </is>
      </c>
      <c r="L192" s="7" t="n">
        <v>15</v>
      </c>
    </row>
    <row r="193">
      <c r="A193" s="15" t="n">
        <v>191</v>
      </c>
      <c r="B193" s="16" t="inlineStr">
        <is>
          <t>25/03/2027</t>
        </is>
      </c>
      <c r="C193" s="16" t="inlineStr">
        <is>
          <t>Quinta-feira</t>
        </is>
      </c>
      <c r="D193" s="15" t="n">
        <v>7</v>
      </c>
      <c r="E193" s="16" t="inlineStr">
        <is>
          <t>09h45–11h15</t>
        </is>
      </c>
      <c r="F193" s="16" t="inlineStr">
        <is>
          <t>2.º tempo lectivo</t>
        </is>
      </c>
      <c r="G193" s="17" t="inlineStr">
        <is>
          <t>SMON</t>
        </is>
      </c>
      <c r="H193" s="18" t="inlineStr">
        <is>
          <t>UVII — Enfermagem neonatal</t>
        </is>
      </c>
      <c r="I193" s="18" t="inlineStr">
        <is>
          <t>Reanimação neonatal básica: passos iniciais e ventilação com máscara — treino em manequim · Treino prático em estações com correcção individual</t>
        </is>
      </c>
      <c r="J193" s="16" t="inlineStr">
        <is>
          <t>Prof. Eduardo David</t>
        </is>
      </c>
      <c r="K193" s="15" t="inlineStr">
        <is>
          <t>P</t>
        </is>
      </c>
      <c r="L193" s="15" t="n">
        <v>90</v>
      </c>
    </row>
    <row r="194">
      <c r="A194" s="19" t="n">
        <v>192</v>
      </c>
      <c r="B194" s="20" t="inlineStr">
        <is>
          <t>25/03/2027</t>
        </is>
      </c>
      <c r="C194" s="20" t="inlineStr">
        <is>
          <t>Quinta-feira</t>
        </is>
      </c>
      <c r="D194" s="19" t="n">
        <v>7</v>
      </c>
      <c r="E194" s="20" t="inlineStr">
        <is>
          <t>11h15–12h15</t>
        </is>
      </c>
      <c r="F194" s="20" t="inlineStr">
        <is>
          <t>Bloco complementar</t>
        </is>
      </c>
      <c r="G194" s="21" t="inlineStr">
        <is>
          <t>EPSC</t>
        </is>
      </c>
      <c r="H194" s="22" t="inlineStr">
        <is>
          <t>UVII — Terapêutica pediátrica e integração</t>
        </is>
      </c>
      <c r="I194" s="22" t="inlineStr">
        <is>
          <t>Punção venosa periférica pediátrica e fluidoterapia: cálculo do ritmo de gotejo · Treino prático supervisionado</t>
        </is>
      </c>
      <c r="J194" s="20" t="inlineStr">
        <is>
          <t>Prof. Eduardo David</t>
        </is>
      </c>
      <c r="K194" s="19" t="inlineStr">
        <is>
          <t>P</t>
        </is>
      </c>
      <c r="L194" s="19" t="n">
        <v>60</v>
      </c>
    </row>
    <row r="195">
      <c r="A195" s="3" t="n">
        <v>193</v>
      </c>
      <c r="B195" s="4" t="inlineStr">
        <is>
          <t>30/03/2027</t>
        </is>
      </c>
      <c r="C195" s="4" t="inlineStr">
        <is>
          <t>Terça-feira</t>
        </is>
      </c>
      <c r="D195" s="3" t="n">
        <v>7</v>
      </c>
      <c r="E195" s="4" t="inlineStr">
        <is>
          <t>08h00–09h30</t>
        </is>
      </c>
      <c r="F195" s="4" t="inlineStr">
        <is>
          <t>1.º tempo lectivo</t>
        </is>
      </c>
      <c r="G195" s="5" t="inlineStr">
        <is>
          <t>EMC</t>
        </is>
      </c>
      <c r="H195" s="6" t="inlineStr">
        <is>
          <t>UVII — Integração em casos clínicos do adulto</t>
        </is>
      </c>
      <c r="I195" s="6" t="inlineStr">
        <is>
          <t>Caso integrado: adulto politraumatizado em internamento — articulação com UEPS · Demonstração da técnica e critérios de execução</t>
        </is>
      </c>
      <c r="J195" s="4" t="inlineStr">
        <is>
          <t>Prof. Manuel Jorge Weber</t>
        </is>
      </c>
      <c r="K195" s="3" t="inlineStr">
        <is>
          <t>P</t>
        </is>
      </c>
      <c r="L195" s="3" t="n">
        <v>90</v>
      </c>
    </row>
    <row r="196">
      <c r="A196" s="7" t="n">
        <v>194</v>
      </c>
      <c r="B196" s="8" t="inlineStr">
        <is>
          <t>30/03/2027</t>
        </is>
      </c>
      <c r="C196" s="8" t="inlineStr">
        <is>
          <t>Terça-feira</t>
        </is>
      </c>
      <c r="D196" s="7" t="n">
        <v>7</v>
      </c>
      <c r="E196" s="8" t="inlineStr">
        <is>
          <t>09h30–09h45</t>
        </is>
      </c>
      <c r="F196" s="8" t="inlineStr">
        <is>
          <t>Intervalo</t>
        </is>
      </c>
      <c r="G196" s="9" t="inlineStr">
        <is>
          <t>—</t>
        </is>
      </c>
      <c r="H196" s="10" t="inlineStr">
        <is>
          <t>—</t>
        </is>
      </c>
      <c r="I196" s="10" t="inlineStr">
        <is>
          <t>Intervalo regulamentar</t>
        </is>
      </c>
      <c r="J196" s="8" t="inlineStr">
        <is>
          <t>—</t>
        </is>
      </c>
      <c r="K196" s="7" t="inlineStr">
        <is>
          <t>—</t>
        </is>
      </c>
      <c r="L196" s="7" t="n">
        <v>15</v>
      </c>
    </row>
    <row r="197">
      <c r="A197" s="3" t="n">
        <v>195</v>
      </c>
      <c r="B197" s="4" t="inlineStr">
        <is>
          <t>30/03/2027</t>
        </is>
      </c>
      <c r="C197" s="4" t="inlineStr">
        <is>
          <t>Terça-feira</t>
        </is>
      </c>
      <c r="D197" s="3" t="n">
        <v>7</v>
      </c>
      <c r="E197" s="4" t="inlineStr">
        <is>
          <t>09h45–11h15</t>
        </is>
      </c>
      <c r="F197" s="4" t="inlineStr">
        <is>
          <t>2.º tempo lectivo</t>
        </is>
      </c>
      <c r="G197" s="5" t="inlineStr">
        <is>
          <t>EMC</t>
        </is>
      </c>
      <c r="H197" s="6" t="inlineStr">
        <is>
          <t>UVII — Integração em casos clínicos do adulto</t>
        </is>
      </c>
      <c r="I197" s="6" t="inlineStr">
        <is>
          <t>Caso integrado: adulto politraumatizado em internamento — articulação com UEPS · Treino prático em estações com correcção individual</t>
        </is>
      </c>
      <c r="J197" s="4" t="inlineStr">
        <is>
          <t>Prof. Manuel Jorge Weber</t>
        </is>
      </c>
      <c r="K197" s="3" t="inlineStr">
        <is>
          <t>P</t>
        </is>
      </c>
      <c r="L197" s="3" t="n">
        <v>90</v>
      </c>
    </row>
    <row r="198">
      <c r="A198" s="11" t="n">
        <v>196</v>
      </c>
      <c r="B198" s="12" t="inlineStr">
        <is>
          <t>30/03/2027</t>
        </is>
      </c>
      <c r="C198" s="12" t="inlineStr">
        <is>
          <t>Terça-feira</t>
        </is>
      </c>
      <c r="D198" s="11" t="n">
        <v>7</v>
      </c>
      <c r="E198" s="12" t="inlineStr">
        <is>
          <t>11h15–12h15</t>
        </is>
      </c>
      <c r="F198" s="12" t="inlineStr">
        <is>
          <t>Bloco complementar</t>
        </is>
      </c>
      <c r="G198" s="13" t="inlineStr">
        <is>
          <t>UEPS</t>
        </is>
      </c>
      <c r="H198" s="14" t="inlineStr">
        <is>
          <t>UVII — Emergência colectiva e integração</t>
        </is>
      </c>
      <c r="I198" s="14" t="inlineStr">
        <is>
          <t>Carro de urgência: composição, verificação diária, reposição e responsabilidade · Demonstração e aplicação prática</t>
        </is>
      </c>
      <c r="J198" s="12" t="inlineStr">
        <is>
          <t>Prof. Manuel Jorge Weber</t>
        </is>
      </c>
      <c r="K198" s="11" t="inlineStr">
        <is>
          <t>TP</t>
        </is>
      </c>
      <c r="L198" s="11" t="n">
        <v>60</v>
      </c>
    </row>
    <row r="199">
      <c r="A199" s="19" t="n">
        <v>197</v>
      </c>
      <c r="B199" s="20" t="inlineStr">
        <is>
          <t>01/04/2027</t>
        </is>
      </c>
      <c r="C199" s="20" t="inlineStr">
        <is>
          <t>Quinta-feira</t>
        </is>
      </c>
      <c r="D199" s="19" t="n">
        <v>7</v>
      </c>
      <c r="E199" s="20" t="inlineStr">
        <is>
          <t>08h00–09h30</t>
        </is>
      </c>
      <c r="F199" s="20" t="inlineStr">
        <is>
          <t>1.º tempo lectivo</t>
        </is>
      </c>
      <c r="G199" s="21" t="inlineStr">
        <is>
          <t>EPSC</t>
        </is>
      </c>
      <c r="H199" s="22" t="inlineStr">
        <is>
          <t>UVII — Terapêutica pediátrica e integração</t>
        </is>
      </c>
      <c r="I199" s="22" t="inlineStr">
        <is>
          <t>Caso integrado: criança com malária grave e desidratação — articulação com SMON e UEPS · Demonstração da técnica e critérios de execução</t>
        </is>
      </c>
      <c r="J199" s="20" t="inlineStr">
        <is>
          <t>Prof. Eduardo David</t>
        </is>
      </c>
      <c r="K199" s="19" t="inlineStr">
        <is>
          <t>P</t>
        </is>
      </c>
      <c r="L199" s="19" t="n">
        <v>90</v>
      </c>
    </row>
    <row r="200">
      <c r="A200" s="7" t="n">
        <v>198</v>
      </c>
      <c r="B200" s="8" t="inlineStr">
        <is>
          <t>01/04/2027</t>
        </is>
      </c>
      <c r="C200" s="8" t="inlineStr">
        <is>
          <t>Quinta-feira</t>
        </is>
      </c>
      <c r="D200" s="7" t="n">
        <v>7</v>
      </c>
      <c r="E200" s="8" t="inlineStr">
        <is>
          <t>09h30–09h45</t>
        </is>
      </c>
      <c r="F200" s="8" t="inlineStr">
        <is>
          <t>Intervalo</t>
        </is>
      </c>
      <c r="G200" s="9" t="inlineStr">
        <is>
          <t>—</t>
        </is>
      </c>
      <c r="H200" s="10" t="inlineStr">
        <is>
          <t>—</t>
        </is>
      </c>
      <c r="I200" s="10" t="inlineStr">
        <is>
          <t>Intervalo regulamentar</t>
        </is>
      </c>
      <c r="J200" s="8" t="inlineStr">
        <is>
          <t>—</t>
        </is>
      </c>
      <c r="K200" s="7" t="inlineStr">
        <is>
          <t>—</t>
        </is>
      </c>
      <c r="L200" s="7" t="n">
        <v>15</v>
      </c>
    </row>
    <row r="201">
      <c r="A201" s="19" t="n">
        <v>199</v>
      </c>
      <c r="B201" s="20" t="inlineStr">
        <is>
          <t>01/04/2027</t>
        </is>
      </c>
      <c r="C201" s="20" t="inlineStr">
        <is>
          <t>Quinta-feira</t>
        </is>
      </c>
      <c r="D201" s="19" t="n">
        <v>7</v>
      </c>
      <c r="E201" s="20" t="inlineStr">
        <is>
          <t>09h45–11h15</t>
        </is>
      </c>
      <c r="F201" s="20" t="inlineStr">
        <is>
          <t>2.º tempo lectivo</t>
        </is>
      </c>
      <c r="G201" s="21" t="inlineStr">
        <is>
          <t>EPSC</t>
        </is>
      </c>
      <c r="H201" s="22" t="inlineStr">
        <is>
          <t>UVII — Terapêutica pediátrica e integração</t>
        </is>
      </c>
      <c r="I201" s="22" t="inlineStr">
        <is>
          <t>Caso integrado: criança com malária grave e desidratação — articulação com SMON e UEPS · Treino prático em estações com correcção individual</t>
        </is>
      </c>
      <c r="J201" s="20" t="inlineStr">
        <is>
          <t>Prof. Eduardo David</t>
        </is>
      </c>
      <c r="K201" s="19" t="inlineStr">
        <is>
          <t>P</t>
        </is>
      </c>
      <c r="L201" s="19" t="n">
        <v>90</v>
      </c>
    </row>
    <row r="202">
      <c r="A202" s="15" t="n">
        <v>200</v>
      </c>
      <c r="B202" s="16" t="inlineStr">
        <is>
          <t>01/04/2027</t>
        </is>
      </c>
      <c r="C202" s="16" t="inlineStr">
        <is>
          <t>Quinta-feira</t>
        </is>
      </c>
      <c r="D202" s="15" t="n">
        <v>7</v>
      </c>
      <c r="E202" s="16" t="inlineStr">
        <is>
          <t>11h15–12h15</t>
        </is>
      </c>
      <c r="F202" s="16" t="inlineStr">
        <is>
          <t>Bloco complementar</t>
        </is>
      </c>
      <c r="G202" s="17" t="inlineStr">
        <is>
          <t>SMON</t>
        </is>
      </c>
      <c r="H202" s="18" t="inlineStr">
        <is>
          <t>UVII — Enfermagem neonatal</t>
        </is>
      </c>
      <c r="I202" s="18" t="inlineStr">
        <is>
          <t>Aleitamento materno: fisiologia da lactação, pega correcta e dificuldades comuns · Demonstração e aplicação prática</t>
        </is>
      </c>
      <c r="J202" s="16" t="inlineStr">
        <is>
          <t>Prof. Eduardo David</t>
        </is>
      </c>
      <c r="K202" s="15" t="inlineStr">
        <is>
          <t>TP</t>
        </is>
      </c>
      <c r="L202" s="15" t="n">
        <v>60</v>
      </c>
    </row>
    <row r="203">
      <c r="A203" s="23" t="n">
        <v>201</v>
      </c>
      <c r="B203" s="24" t="inlineStr">
        <is>
          <t>06/04/2027</t>
        </is>
      </c>
      <c r="C203" s="24" t="inlineStr">
        <is>
          <t>Terça-feira</t>
        </is>
      </c>
      <c r="D203" s="23" t="n">
        <v>7</v>
      </c>
      <c r="E203" s="24" t="inlineStr">
        <is>
          <t>08h00–09h30</t>
        </is>
      </c>
      <c r="F203" s="24" t="inlineStr">
        <is>
          <t>1.º tempo</t>
        </is>
      </c>
      <c r="G203" s="25" t="inlineStr">
        <is>
          <t>SEM</t>
        </is>
      </c>
      <c r="H203" s="26" t="inlineStr">
        <is>
          <t>Seminário 7 — Saúde Colectiva II</t>
        </is>
      </c>
      <c r="I203" s="26" t="inlineStr">
        <is>
          <t>Módulo 1 — Vigilância epidemiológica; doenças de notificação; água e saneamento</t>
        </is>
      </c>
      <c r="J203" s="24" t="inlineStr">
        <is>
          <t>Formador(a) convidado(a)</t>
        </is>
      </c>
      <c r="K203" s="23" t="inlineStr">
        <is>
          <t>T</t>
        </is>
      </c>
      <c r="L203" s="23" t="n">
        <v>90</v>
      </c>
    </row>
    <row r="204">
      <c r="A204" s="7" t="n">
        <v>202</v>
      </c>
      <c r="B204" s="8" t="inlineStr">
        <is>
          <t>06/04/2027</t>
        </is>
      </c>
      <c r="C204" s="8" t="inlineStr">
        <is>
          <t>Terça-feira</t>
        </is>
      </c>
      <c r="D204" s="7" t="n">
        <v>7</v>
      </c>
      <c r="E204" s="8" t="inlineStr">
        <is>
          <t>09h30–09h45</t>
        </is>
      </c>
      <c r="F204" s="8" t="inlineStr">
        <is>
          <t>Intervalo</t>
        </is>
      </c>
      <c r="G204" s="9" t="inlineStr">
        <is>
          <t>—</t>
        </is>
      </c>
      <c r="H204" s="10" t="inlineStr">
        <is>
          <t>—</t>
        </is>
      </c>
      <c r="I204" s="10" t="inlineStr">
        <is>
          <t>Intervalo regulamentar</t>
        </is>
      </c>
      <c r="J204" s="8" t="inlineStr">
        <is>
          <t>—</t>
        </is>
      </c>
      <c r="K204" s="7" t="inlineStr">
        <is>
          <t>—</t>
        </is>
      </c>
      <c r="L204" s="7" t="n">
        <v>15</v>
      </c>
    </row>
    <row r="205">
      <c r="A205" s="23" t="n">
        <v>203</v>
      </c>
      <c r="B205" s="24" t="inlineStr">
        <is>
          <t>06/04/2027</t>
        </is>
      </c>
      <c r="C205" s="24" t="inlineStr">
        <is>
          <t>Terça-feira</t>
        </is>
      </c>
      <c r="D205" s="23" t="n">
        <v>7</v>
      </c>
      <c r="E205" s="24" t="inlineStr">
        <is>
          <t>09h45–11h15</t>
        </is>
      </c>
      <c r="F205" s="24" t="inlineStr">
        <is>
          <t>2.º tempo</t>
        </is>
      </c>
      <c r="G205" s="25" t="inlineStr">
        <is>
          <t>SEM</t>
        </is>
      </c>
      <c r="H205" s="26" t="inlineStr">
        <is>
          <t>Seminário 7 — Saúde Colectiva II</t>
        </is>
      </c>
      <c r="I205" s="26" t="inlineStr">
        <is>
          <t>Módulo 2 — Vigilância epidemiológica; doenças de notificação; água e saneamento</t>
        </is>
      </c>
      <c r="J205" s="24" t="inlineStr">
        <is>
          <t>Formador(a) convidado(a)</t>
        </is>
      </c>
      <c r="K205" s="23" t="inlineStr">
        <is>
          <t>T</t>
        </is>
      </c>
      <c r="L205" s="23" t="n">
        <v>90</v>
      </c>
    </row>
    <row r="206">
      <c r="A206" s="23" t="n">
        <v>204</v>
      </c>
      <c r="B206" s="24" t="inlineStr">
        <is>
          <t>06/04/2027</t>
        </is>
      </c>
      <c r="C206" s="24" t="inlineStr">
        <is>
          <t>Terça-feira</t>
        </is>
      </c>
      <c r="D206" s="23" t="n">
        <v>7</v>
      </c>
      <c r="E206" s="24" t="inlineStr">
        <is>
          <t>11h15–12h15</t>
        </is>
      </c>
      <c r="F206" s="24" t="inlineStr">
        <is>
          <t>Bloco complementar</t>
        </is>
      </c>
      <c r="G206" s="25" t="inlineStr">
        <is>
          <t>SEM</t>
        </is>
      </c>
      <c r="H206" s="26" t="inlineStr">
        <is>
          <t>Seminário 7 — Saúde Colectiva II</t>
        </is>
      </c>
      <c r="I206" s="26" t="inlineStr">
        <is>
          <t>Oficina e ficha-síntese de participação</t>
        </is>
      </c>
      <c r="J206" s="24" t="inlineStr">
        <is>
          <t>Formador(a) convidado(a)</t>
        </is>
      </c>
      <c r="K206" s="23" t="inlineStr">
        <is>
          <t>P</t>
        </is>
      </c>
      <c r="L206" s="23" t="n">
        <v>60</v>
      </c>
    </row>
    <row r="207">
      <c r="A207" s="15" t="n">
        <v>205</v>
      </c>
      <c r="B207" s="16" t="inlineStr">
        <is>
          <t>08/04/2027</t>
        </is>
      </c>
      <c r="C207" s="16" t="inlineStr">
        <is>
          <t>Quinta-feira</t>
        </is>
      </c>
      <c r="D207" s="15" t="n">
        <v>7</v>
      </c>
      <c r="E207" s="16" t="inlineStr">
        <is>
          <t>08h00–09h30</t>
        </is>
      </c>
      <c r="F207" s="16" t="inlineStr">
        <is>
          <t>1.º tempo lectivo</t>
        </is>
      </c>
      <c r="G207" s="17" t="inlineStr">
        <is>
          <t>SMON</t>
        </is>
      </c>
      <c r="H207" s="18" t="inlineStr">
        <is>
          <t>UVII — Enfermagem neonatal</t>
        </is>
      </c>
      <c r="I207" s="18" t="inlineStr">
        <is>
          <t>Sépsis neonatal, icterícia e recém-nascido de baixo peso: sinais de perigo, método canguru e referência · Enquadramento teórico e demonstração da técnica</t>
        </is>
      </c>
      <c r="J207" s="16" t="inlineStr">
        <is>
          <t>Prof. Eduardo David</t>
        </is>
      </c>
      <c r="K207" s="15" t="inlineStr">
        <is>
          <t>TP</t>
        </is>
      </c>
      <c r="L207" s="15" t="n">
        <v>90</v>
      </c>
    </row>
    <row r="208">
      <c r="A208" s="7" t="n">
        <v>206</v>
      </c>
      <c r="B208" s="8" t="inlineStr">
        <is>
          <t>08/04/2027</t>
        </is>
      </c>
      <c r="C208" s="8" t="inlineStr">
        <is>
          <t>Quinta-feira</t>
        </is>
      </c>
      <c r="D208" s="7" t="n">
        <v>7</v>
      </c>
      <c r="E208" s="8" t="inlineStr">
        <is>
          <t>09h30–09h45</t>
        </is>
      </c>
      <c r="F208" s="8" t="inlineStr">
        <is>
          <t>Intervalo</t>
        </is>
      </c>
      <c r="G208" s="9" t="inlineStr">
        <is>
          <t>—</t>
        </is>
      </c>
      <c r="H208" s="10" t="inlineStr">
        <is>
          <t>—</t>
        </is>
      </c>
      <c r="I208" s="10" t="inlineStr">
        <is>
          <t>Intervalo regulamentar</t>
        </is>
      </c>
      <c r="J208" s="8" t="inlineStr">
        <is>
          <t>—</t>
        </is>
      </c>
      <c r="K208" s="7" t="inlineStr">
        <is>
          <t>—</t>
        </is>
      </c>
      <c r="L208" s="7" t="n">
        <v>15</v>
      </c>
    </row>
    <row r="209">
      <c r="A209" s="15" t="n">
        <v>207</v>
      </c>
      <c r="B209" s="16" t="inlineStr">
        <is>
          <t>08/04/2027</t>
        </is>
      </c>
      <c r="C209" s="16" t="inlineStr">
        <is>
          <t>Quinta-feira</t>
        </is>
      </c>
      <c r="D209" s="15" t="n">
        <v>7</v>
      </c>
      <c r="E209" s="16" t="inlineStr">
        <is>
          <t>09h45–11h15</t>
        </is>
      </c>
      <c r="F209" s="16" t="inlineStr">
        <is>
          <t>2.º tempo lectivo</t>
        </is>
      </c>
      <c r="G209" s="17" t="inlineStr">
        <is>
          <t>SMON</t>
        </is>
      </c>
      <c r="H209" s="18" t="inlineStr">
        <is>
          <t>UVII — Enfermagem neonatal</t>
        </is>
      </c>
      <c r="I209" s="18" t="inlineStr">
        <is>
          <t>Sépsis neonatal, icterícia e recém-nascido de baixo peso: sinais de perigo, método canguru e referência · Treino prático supervisionado e estudo de caso</t>
        </is>
      </c>
      <c r="J209" s="16" t="inlineStr">
        <is>
          <t>Prof. Eduardo David</t>
        </is>
      </c>
      <c r="K209" s="15" t="inlineStr">
        <is>
          <t>P</t>
        </is>
      </c>
      <c r="L209" s="15" t="n">
        <v>90</v>
      </c>
    </row>
    <row r="210">
      <c r="A210" s="19" t="n">
        <v>208</v>
      </c>
      <c r="B210" s="20" t="inlineStr">
        <is>
          <t>08/04/2027</t>
        </is>
      </c>
      <c r="C210" s="20" t="inlineStr">
        <is>
          <t>Quinta-feira</t>
        </is>
      </c>
      <c r="D210" s="19" t="n">
        <v>7</v>
      </c>
      <c r="E210" s="20" t="inlineStr">
        <is>
          <t>11h15–12h15</t>
        </is>
      </c>
      <c r="F210" s="20" t="inlineStr">
        <is>
          <t>Bloco complementar</t>
        </is>
      </c>
      <c r="G210" s="21" t="inlineStr">
        <is>
          <t>EPSC</t>
        </is>
      </c>
      <c r="H210" s="22" t="inlineStr">
        <is>
          <t>UVII — Terapêutica pediátrica e integração</t>
        </is>
      </c>
      <c r="I210" s="22" t="inlineStr">
        <is>
          <t>Avaliação e controlo da dor na criança; sinais de maus-tratos e dever de comunicação · Demonstração e aplicação prática</t>
        </is>
      </c>
      <c r="J210" s="20" t="inlineStr">
        <is>
          <t>Prof. Eduardo David</t>
        </is>
      </c>
      <c r="K210" s="19" t="inlineStr">
        <is>
          <t>TP</t>
        </is>
      </c>
      <c r="L210" s="19" t="n">
        <v>60</v>
      </c>
    </row>
    <row r="211">
      <c r="A211" s="11" t="n">
        <v>209</v>
      </c>
      <c r="B211" s="12" t="inlineStr">
        <is>
          <t>13/04/2027</t>
        </is>
      </c>
      <c r="C211" s="12" t="inlineStr">
        <is>
          <t>Terça-feira</t>
        </is>
      </c>
      <c r="D211" s="11" t="n">
        <v>7</v>
      </c>
      <c r="E211" s="12" t="inlineStr">
        <is>
          <t>08h00–09h30</t>
        </is>
      </c>
      <c r="F211" s="12" t="inlineStr">
        <is>
          <t>1.º tempo lectivo</t>
        </is>
      </c>
      <c r="G211" s="13" t="inlineStr">
        <is>
          <t>UEPS</t>
        </is>
      </c>
      <c r="H211" s="14" t="inlineStr">
        <is>
          <t>UVII — Emergência colectiva e integração</t>
        </is>
      </c>
      <c r="I211" s="14" t="inlineStr">
        <is>
          <t>Simulação integrada: cenário de multivítimas com triagem, estabilização e referência · Demonstração da técnica e critérios de execução</t>
        </is>
      </c>
      <c r="J211" s="12" t="inlineStr">
        <is>
          <t>Prof. Manuel Jorge Weber</t>
        </is>
      </c>
      <c r="K211" s="11" t="inlineStr">
        <is>
          <t>P</t>
        </is>
      </c>
      <c r="L211" s="11" t="n">
        <v>90</v>
      </c>
    </row>
    <row r="212">
      <c r="A212" s="7" t="n">
        <v>210</v>
      </c>
      <c r="B212" s="8" t="inlineStr">
        <is>
          <t>13/04/2027</t>
        </is>
      </c>
      <c r="C212" s="8" t="inlineStr">
        <is>
          <t>Terça-feira</t>
        </is>
      </c>
      <c r="D212" s="7" t="n">
        <v>7</v>
      </c>
      <c r="E212" s="8" t="inlineStr">
        <is>
          <t>09h30–09h45</t>
        </is>
      </c>
      <c r="F212" s="8" t="inlineStr">
        <is>
          <t>Intervalo</t>
        </is>
      </c>
      <c r="G212" s="9" t="inlineStr">
        <is>
          <t>—</t>
        </is>
      </c>
      <c r="H212" s="10" t="inlineStr">
        <is>
          <t>—</t>
        </is>
      </c>
      <c r="I212" s="10" t="inlineStr">
        <is>
          <t>Intervalo regulamentar</t>
        </is>
      </c>
      <c r="J212" s="8" t="inlineStr">
        <is>
          <t>—</t>
        </is>
      </c>
      <c r="K212" s="7" t="inlineStr">
        <is>
          <t>—</t>
        </is>
      </c>
      <c r="L212" s="7" t="n">
        <v>15</v>
      </c>
    </row>
    <row r="213">
      <c r="A213" s="11" t="n">
        <v>211</v>
      </c>
      <c r="B213" s="12" t="inlineStr">
        <is>
          <t>13/04/2027</t>
        </is>
      </c>
      <c r="C213" s="12" t="inlineStr">
        <is>
          <t>Terça-feira</t>
        </is>
      </c>
      <c r="D213" s="11" t="n">
        <v>7</v>
      </c>
      <c r="E213" s="12" t="inlineStr">
        <is>
          <t>09h45–11h15</t>
        </is>
      </c>
      <c r="F213" s="12" t="inlineStr">
        <is>
          <t>2.º tempo lectivo</t>
        </is>
      </c>
      <c r="G213" s="13" t="inlineStr">
        <is>
          <t>UEPS</t>
        </is>
      </c>
      <c r="H213" s="14" t="inlineStr">
        <is>
          <t>UVII — Emergência colectiva e integração</t>
        </is>
      </c>
      <c r="I213" s="14" t="inlineStr">
        <is>
          <t>Simulação integrada: cenário de multivítimas com triagem, estabilização e referência · Treino prático em estações com correcção individual</t>
        </is>
      </c>
      <c r="J213" s="12" t="inlineStr">
        <is>
          <t>Prof. Manuel Jorge Weber</t>
        </is>
      </c>
      <c r="K213" s="11" t="inlineStr">
        <is>
          <t>P</t>
        </is>
      </c>
      <c r="L213" s="11" t="n">
        <v>90</v>
      </c>
    </row>
    <row r="214">
      <c r="A214" s="3" t="n">
        <v>212</v>
      </c>
      <c r="B214" s="4" t="inlineStr">
        <is>
          <t>13/04/2027</t>
        </is>
      </c>
      <c r="C214" s="4" t="inlineStr">
        <is>
          <t>Terça-feira</t>
        </is>
      </c>
      <c r="D214" s="3" t="n">
        <v>7</v>
      </c>
      <c r="E214" s="4" t="inlineStr">
        <is>
          <t>11h15–12h15</t>
        </is>
      </c>
      <c r="F214" s="4" t="inlineStr">
        <is>
          <t>Bloco complementar</t>
        </is>
      </c>
      <c r="G214" s="5" t="inlineStr">
        <is>
          <t>EMC</t>
        </is>
      </c>
      <c r="H214" s="6" t="inlineStr">
        <is>
          <t>UVII — Integração em casos clínicos do adulto</t>
        </is>
      </c>
      <c r="I214" s="6" t="inlineStr">
        <is>
          <t>Caso integrado: doente crónico com hipertensão e diabetes — continuidade de cuidados e referência · Demonstração e aplicação prática</t>
        </is>
      </c>
      <c r="J214" s="4" t="inlineStr">
        <is>
          <t>Prof. Manuel Jorge Weber</t>
        </is>
      </c>
      <c r="K214" s="3" t="inlineStr">
        <is>
          <t>TP</t>
        </is>
      </c>
      <c r="L214" s="3" t="n">
        <v>60</v>
      </c>
    </row>
    <row r="215">
      <c r="A215" s="19" t="n">
        <v>213</v>
      </c>
      <c r="B215" s="20" t="inlineStr">
        <is>
          <t>15/04/2027</t>
        </is>
      </c>
      <c r="C215" s="20" t="inlineStr">
        <is>
          <t>Quinta-feira</t>
        </is>
      </c>
      <c r="D215" s="19" t="n">
        <v>8</v>
      </c>
      <c r="E215" s="20" t="inlineStr">
        <is>
          <t>08h00–09h30</t>
        </is>
      </c>
      <c r="F215" s="20" t="inlineStr">
        <is>
          <t>1.º tempo lectivo</t>
        </is>
      </c>
      <c r="G215" s="21" t="inlineStr">
        <is>
          <t>EPSC</t>
        </is>
      </c>
      <c r="H215" s="22" t="inlineStr">
        <is>
          <t>UVIII — Revisão, consolidação e avaliação final</t>
        </is>
      </c>
      <c r="I215" s="22" t="inlineStr">
        <is>
          <t>Revisão integrada das Unidades I a IV com estudo de casos de abordagem integrada · Enquadramento teórico e demonstração da técnica</t>
        </is>
      </c>
      <c r="J215" s="20" t="inlineStr">
        <is>
          <t>Prof. Eduardo David</t>
        </is>
      </c>
      <c r="K215" s="19" t="inlineStr">
        <is>
          <t>TP</t>
        </is>
      </c>
      <c r="L215" s="19" t="n">
        <v>90</v>
      </c>
    </row>
    <row r="216">
      <c r="A216" s="7" t="n">
        <v>214</v>
      </c>
      <c r="B216" s="8" t="inlineStr">
        <is>
          <t>15/04/2027</t>
        </is>
      </c>
      <c r="C216" s="8" t="inlineStr">
        <is>
          <t>Quinta-feira</t>
        </is>
      </c>
      <c r="D216" s="7" t="n">
        <v>8</v>
      </c>
      <c r="E216" s="8" t="inlineStr">
        <is>
          <t>09h30–09h45</t>
        </is>
      </c>
      <c r="F216" s="8" t="inlineStr">
        <is>
          <t>Intervalo</t>
        </is>
      </c>
      <c r="G216" s="9" t="inlineStr">
        <is>
          <t>—</t>
        </is>
      </c>
      <c r="H216" s="10" t="inlineStr">
        <is>
          <t>—</t>
        </is>
      </c>
      <c r="I216" s="10" t="inlineStr">
        <is>
          <t>Intervalo regulamentar</t>
        </is>
      </c>
      <c r="J216" s="8" t="inlineStr">
        <is>
          <t>—</t>
        </is>
      </c>
      <c r="K216" s="7" t="inlineStr">
        <is>
          <t>—</t>
        </is>
      </c>
      <c r="L216" s="7" t="n">
        <v>15</v>
      </c>
    </row>
    <row r="217">
      <c r="A217" s="19" t="n">
        <v>215</v>
      </c>
      <c r="B217" s="20" t="inlineStr">
        <is>
          <t>15/04/2027</t>
        </is>
      </c>
      <c r="C217" s="20" t="inlineStr">
        <is>
          <t>Quinta-feira</t>
        </is>
      </c>
      <c r="D217" s="19" t="n">
        <v>8</v>
      </c>
      <c r="E217" s="20" t="inlineStr">
        <is>
          <t>09h45–11h15</t>
        </is>
      </c>
      <c r="F217" s="20" t="inlineStr">
        <is>
          <t>2.º tempo lectivo</t>
        </is>
      </c>
      <c r="G217" s="21" t="inlineStr">
        <is>
          <t>EPSC</t>
        </is>
      </c>
      <c r="H217" s="22" t="inlineStr">
        <is>
          <t>UVIII — Revisão, consolidação e avaliação final</t>
        </is>
      </c>
      <c r="I217" s="22" t="inlineStr">
        <is>
          <t>Revisão integrada das Unidades I a IV com estudo de casos de abordagem integrada · Treino prático supervisionado e estudo de caso</t>
        </is>
      </c>
      <c r="J217" s="20" t="inlineStr">
        <is>
          <t>Prof. Eduardo David</t>
        </is>
      </c>
      <c r="K217" s="19" t="inlineStr">
        <is>
          <t>P</t>
        </is>
      </c>
      <c r="L217" s="19" t="n">
        <v>90</v>
      </c>
    </row>
    <row r="218">
      <c r="A218" s="15" t="n">
        <v>216</v>
      </c>
      <c r="B218" s="16" t="inlineStr">
        <is>
          <t>15/04/2027</t>
        </is>
      </c>
      <c r="C218" s="16" t="inlineStr">
        <is>
          <t>Quinta-feira</t>
        </is>
      </c>
      <c r="D218" s="15" t="n">
        <v>8</v>
      </c>
      <c r="E218" s="16" t="inlineStr">
        <is>
          <t>11h15–12h15</t>
        </is>
      </c>
      <c r="F218" s="16" t="inlineStr">
        <is>
          <t>Bloco complementar</t>
        </is>
      </c>
      <c r="G218" s="17" t="inlineStr">
        <is>
          <t>SMON</t>
        </is>
      </c>
      <c r="H218" s="18" t="inlineStr">
        <is>
          <t>UVIII — Revisão, consolidação e avaliação final</t>
        </is>
      </c>
      <c r="I218" s="18" t="inlineStr">
        <is>
          <t>Revisão integrada das Unidades I a IV com interpretação de partogramas · Demonstração e aplicação prática</t>
        </is>
      </c>
      <c r="J218" s="16" t="inlineStr">
        <is>
          <t>Prof. Eduardo David</t>
        </is>
      </c>
      <c r="K218" s="15" t="inlineStr">
        <is>
          <t>TP</t>
        </is>
      </c>
      <c r="L218" s="15" t="n">
        <v>60</v>
      </c>
    </row>
    <row r="219">
      <c r="A219" s="3" t="n">
        <v>217</v>
      </c>
      <c r="B219" s="4" t="inlineStr">
        <is>
          <t>20/04/2027</t>
        </is>
      </c>
      <c r="C219" s="4" t="inlineStr">
        <is>
          <t>Terça-feira</t>
        </is>
      </c>
      <c r="D219" s="3" t="n">
        <v>8</v>
      </c>
      <c r="E219" s="4" t="inlineStr">
        <is>
          <t>08h00–09h30</t>
        </is>
      </c>
      <c r="F219" s="4" t="inlineStr">
        <is>
          <t>1.º tempo lectivo</t>
        </is>
      </c>
      <c r="G219" s="5" t="inlineStr">
        <is>
          <t>EMC</t>
        </is>
      </c>
      <c r="H219" s="6" t="inlineStr">
        <is>
          <t>UVIII — Revisão, consolidação e avaliação final</t>
        </is>
      </c>
      <c r="I219" s="6" t="inlineStr">
        <is>
          <t>Revisão integrada das Unidades I a IV com resolução de situações clínicas · Enquadramento teórico e demonstração da técnica</t>
        </is>
      </c>
      <c r="J219" s="4" t="inlineStr">
        <is>
          <t>Prof. Manuel Jorge Weber</t>
        </is>
      </c>
      <c r="K219" s="3" t="inlineStr">
        <is>
          <t>TP</t>
        </is>
      </c>
      <c r="L219" s="3" t="n">
        <v>90</v>
      </c>
    </row>
    <row r="220">
      <c r="A220" s="7" t="n">
        <v>218</v>
      </c>
      <c r="B220" s="8" t="inlineStr">
        <is>
          <t>20/04/2027</t>
        </is>
      </c>
      <c r="C220" s="8" t="inlineStr">
        <is>
          <t>Terça-feira</t>
        </is>
      </c>
      <c r="D220" s="7" t="n">
        <v>8</v>
      </c>
      <c r="E220" s="8" t="inlineStr">
        <is>
          <t>09h30–09h45</t>
        </is>
      </c>
      <c r="F220" s="8" t="inlineStr">
        <is>
          <t>Intervalo</t>
        </is>
      </c>
      <c r="G220" s="9" t="inlineStr">
        <is>
          <t>—</t>
        </is>
      </c>
      <c r="H220" s="10" t="inlineStr">
        <is>
          <t>—</t>
        </is>
      </c>
      <c r="I220" s="10" t="inlineStr">
        <is>
          <t>Intervalo regulamentar</t>
        </is>
      </c>
      <c r="J220" s="8" t="inlineStr">
        <is>
          <t>—</t>
        </is>
      </c>
      <c r="K220" s="7" t="inlineStr">
        <is>
          <t>—</t>
        </is>
      </c>
      <c r="L220" s="7" t="n">
        <v>15</v>
      </c>
    </row>
    <row r="221">
      <c r="A221" s="3" t="n">
        <v>219</v>
      </c>
      <c r="B221" s="4" t="inlineStr">
        <is>
          <t>20/04/2027</t>
        </is>
      </c>
      <c r="C221" s="4" t="inlineStr">
        <is>
          <t>Terça-feira</t>
        </is>
      </c>
      <c r="D221" s="3" t="n">
        <v>8</v>
      </c>
      <c r="E221" s="4" t="inlineStr">
        <is>
          <t>09h45–11h15</t>
        </is>
      </c>
      <c r="F221" s="4" t="inlineStr">
        <is>
          <t>2.º tempo lectivo</t>
        </is>
      </c>
      <c r="G221" s="5" t="inlineStr">
        <is>
          <t>EMC</t>
        </is>
      </c>
      <c r="H221" s="6" t="inlineStr">
        <is>
          <t>UVIII — Revisão, consolidação e avaliação final</t>
        </is>
      </c>
      <c r="I221" s="6" t="inlineStr">
        <is>
          <t>Revisão integrada das Unidades I a IV com resolução de situações clínicas · Treino prático supervisionado e estudo de caso</t>
        </is>
      </c>
      <c r="J221" s="4" t="inlineStr">
        <is>
          <t>Prof. Manuel Jorge Weber</t>
        </is>
      </c>
      <c r="K221" s="3" t="inlineStr">
        <is>
          <t>P</t>
        </is>
      </c>
      <c r="L221" s="3" t="n">
        <v>90</v>
      </c>
    </row>
    <row r="222">
      <c r="A222" s="11" t="n">
        <v>220</v>
      </c>
      <c r="B222" s="12" t="inlineStr">
        <is>
          <t>20/04/2027</t>
        </is>
      </c>
      <c r="C222" s="12" t="inlineStr">
        <is>
          <t>Terça-feira</t>
        </is>
      </c>
      <c r="D222" s="11" t="n">
        <v>8</v>
      </c>
      <c r="E222" s="12" t="inlineStr">
        <is>
          <t>11h15–12h15</t>
        </is>
      </c>
      <c r="F222" s="12" t="inlineStr">
        <is>
          <t>Bloco complementar</t>
        </is>
      </c>
      <c r="G222" s="13" t="inlineStr">
        <is>
          <t>UEPS</t>
        </is>
      </c>
      <c r="H222" s="14" t="inlineStr">
        <is>
          <t>UVIII — Revisão, consolidação e avaliação prática final</t>
        </is>
      </c>
      <c r="I222" s="14" t="inlineStr">
        <is>
          <t>Revisão dos algoritmos de suporte básico de vida e de abordagem ao trauma · Exposição e discussão dirigida</t>
        </is>
      </c>
      <c r="J222" s="12" t="inlineStr">
        <is>
          <t>Prof. Manuel Jorge Weber</t>
        </is>
      </c>
      <c r="K222" s="11" t="inlineStr">
        <is>
          <t>T</t>
        </is>
      </c>
      <c r="L222" s="11" t="n">
        <v>60</v>
      </c>
    </row>
    <row r="223">
      <c r="A223" s="23" t="n">
        <v>221</v>
      </c>
      <c r="B223" s="24" t="inlineStr">
        <is>
          <t>22/04/2027</t>
        </is>
      </c>
      <c r="C223" s="24" t="inlineStr">
        <is>
          <t>Quinta-feira</t>
        </is>
      </c>
      <c r="D223" s="23" t="n">
        <v>8</v>
      </c>
      <c r="E223" s="24" t="inlineStr">
        <is>
          <t>08h00–09h30</t>
        </is>
      </c>
      <c r="F223" s="24" t="inlineStr">
        <is>
          <t>1.º tempo</t>
        </is>
      </c>
      <c r="G223" s="25" t="inlineStr">
        <is>
          <t>SEM</t>
        </is>
      </c>
      <c r="H223" s="26" t="inlineStr">
        <is>
          <t>Seminário 8 — Saúde Mental II</t>
        </is>
      </c>
      <c r="I223" s="26" t="inlineStr">
        <is>
          <t>Módulo 1 — Abordagem inicial da pessoa em crise; álcool e outras substâncias</t>
        </is>
      </c>
      <c r="J223" s="24" t="inlineStr">
        <is>
          <t>Formador(a) convidado(a)</t>
        </is>
      </c>
      <c r="K223" s="23" t="inlineStr">
        <is>
          <t>T</t>
        </is>
      </c>
      <c r="L223" s="23" t="n">
        <v>90</v>
      </c>
    </row>
    <row r="224">
      <c r="A224" s="7" t="n">
        <v>222</v>
      </c>
      <c r="B224" s="8" t="inlineStr">
        <is>
          <t>22/04/2027</t>
        </is>
      </c>
      <c r="C224" s="8" t="inlineStr">
        <is>
          <t>Quinta-feira</t>
        </is>
      </c>
      <c r="D224" s="7" t="n">
        <v>8</v>
      </c>
      <c r="E224" s="8" t="inlineStr">
        <is>
          <t>09h30–09h45</t>
        </is>
      </c>
      <c r="F224" s="8" t="inlineStr">
        <is>
          <t>Intervalo</t>
        </is>
      </c>
      <c r="G224" s="9" t="inlineStr">
        <is>
          <t>—</t>
        </is>
      </c>
      <c r="H224" s="10" t="inlineStr">
        <is>
          <t>—</t>
        </is>
      </c>
      <c r="I224" s="10" t="inlineStr">
        <is>
          <t>Intervalo regulamentar</t>
        </is>
      </c>
      <c r="J224" s="8" t="inlineStr">
        <is>
          <t>—</t>
        </is>
      </c>
      <c r="K224" s="7" t="inlineStr">
        <is>
          <t>—</t>
        </is>
      </c>
      <c r="L224" s="7" t="n">
        <v>15</v>
      </c>
    </row>
    <row r="225">
      <c r="A225" s="23" t="n">
        <v>223</v>
      </c>
      <c r="B225" s="24" t="inlineStr">
        <is>
          <t>22/04/2027</t>
        </is>
      </c>
      <c r="C225" s="24" t="inlineStr">
        <is>
          <t>Quinta-feira</t>
        </is>
      </c>
      <c r="D225" s="23" t="n">
        <v>8</v>
      </c>
      <c r="E225" s="24" t="inlineStr">
        <is>
          <t>09h45–11h15</t>
        </is>
      </c>
      <c r="F225" s="24" t="inlineStr">
        <is>
          <t>2.º tempo</t>
        </is>
      </c>
      <c r="G225" s="25" t="inlineStr">
        <is>
          <t>SEM</t>
        </is>
      </c>
      <c r="H225" s="26" t="inlineStr">
        <is>
          <t>Seminário 8 — Saúde Mental II</t>
        </is>
      </c>
      <c r="I225" s="26" t="inlineStr">
        <is>
          <t>Módulo 2 — Abordagem inicial da pessoa em crise; álcool e outras substâncias</t>
        </is>
      </c>
      <c r="J225" s="24" t="inlineStr">
        <is>
          <t>Formador(a) convidado(a)</t>
        </is>
      </c>
      <c r="K225" s="23" t="inlineStr">
        <is>
          <t>T</t>
        </is>
      </c>
      <c r="L225" s="23" t="n">
        <v>90</v>
      </c>
    </row>
    <row r="226">
      <c r="A226" s="23" t="n">
        <v>224</v>
      </c>
      <c r="B226" s="24" t="inlineStr">
        <is>
          <t>22/04/2027</t>
        </is>
      </c>
      <c r="C226" s="24" t="inlineStr">
        <is>
          <t>Quinta-feira</t>
        </is>
      </c>
      <c r="D226" s="23" t="n">
        <v>8</v>
      </c>
      <c r="E226" s="24" t="inlineStr">
        <is>
          <t>11h15–12h15</t>
        </is>
      </c>
      <c r="F226" s="24" t="inlineStr">
        <is>
          <t>Bloco complementar</t>
        </is>
      </c>
      <c r="G226" s="25" t="inlineStr">
        <is>
          <t>SEM</t>
        </is>
      </c>
      <c r="H226" s="26" t="inlineStr">
        <is>
          <t>Seminário 8 — Saúde Mental II</t>
        </is>
      </c>
      <c r="I226" s="26" t="inlineStr">
        <is>
          <t>Oficina e ficha-síntese de participação</t>
        </is>
      </c>
      <c r="J226" s="24" t="inlineStr">
        <is>
          <t>Formador(a) convidado(a)</t>
        </is>
      </c>
      <c r="K226" s="23" t="inlineStr">
        <is>
          <t>P</t>
        </is>
      </c>
      <c r="L226" s="23" t="n">
        <v>60</v>
      </c>
    </row>
    <row r="227">
      <c r="A227" s="11" t="n">
        <v>225</v>
      </c>
      <c r="B227" s="12" t="inlineStr">
        <is>
          <t>27/04/2027</t>
        </is>
      </c>
      <c r="C227" s="12" t="inlineStr">
        <is>
          <t>Terça-feira</t>
        </is>
      </c>
      <c r="D227" s="11" t="n">
        <v>8</v>
      </c>
      <c r="E227" s="12" t="inlineStr">
        <is>
          <t>08h00–09h30</t>
        </is>
      </c>
      <c r="F227" s="12" t="inlineStr">
        <is>
          <t>1.º tempo lectivo</t>
        </is>
      </c>
      <c r="G227" s="13" t="inlineStr">
        <is>
          <t>UEPS</t>
        </is>
      </c>
      <c r="H227" s="14" t="inlineStr">
        <is>
          <t>UVIII — Revisão, consolidação e avaliação prática final</t>
        </is>
      </c>
      <c r="I227" s="14" t="inlineStr">
        <is>
          <t>Treino final de SBV com DAE e de imobilização, com correcção individual contra lista de verificação · Demonstração da técnica e critérios de execução</t>
        </is>
      </c>
      <c r="J227" s="12" t="inlineStr">
        <is>
          <t>Prof. Manuel Jorge Weber</t>
        </is>
      </c>
      <c r="K227" s="11" t="inlineStr">
        <is>
          <t>P</t>
        </is>
      </c>
      <c r="L227" s="11" t="n">
        <v>90</v>
      </c>
    </row>
    <row r="228">
      <c r="A228" s="7" t="n">
        <v>226</v>
      </c>
      <c r="B228" s="8" t="inlineStr">
        <is>
          <t>27/04/2027</t>
        </is>
      </c>
      <c r="C228" s="8" t="inlineStr">
        <is>
          <t>Terça-feira</t>
        </is>
      </c>
      <c r="D228" s="7" t="n">
        <v>8</v>
      </c>
      <c r="E228" s="8" t="inlineStr">
        <is>
          <t>09h30–09h45</t>
        </is>
      </c>
      <c r="F228" s="8" t="inlineStr">
        <is>
          <t>Intervalo</t>
        </is>
      </c>
      <c r="G228" s="9" t="inlineStr">
        <is>
          <t>—</t>
        </is>
      </c>
      <c r="H228" s="10" t="inlineStr">
        <is>
          <t>—</t>
        </is>
      </c>
      <c r="I228" s="10" t="inlineStr">
        <is>
          <t>Intervalo regulamentar</t>
        </is>
      </c>
      <c r="J228" s="8" t="inlineStr">
        <is>
          <t>—</t>
        </is>
      </c>
      <c r="K228" s="7" t="inlineStr">
        <is>
          <t>—</t>
        </is>
      </c>
      <c r="L228" s="7" t="n">
        <v>15</v>
      </c>
    </row>
    <row r="229">
      <c r="A229" s="11" t="n">
        <v>227</v>
      </c>
      <c r="B229" s="12" t="inlineStr">
        <is>
          <t>27/04/2027</t>
        </is>
      </c>
      <c r="C229" s="12" t="inlineStr">
        <is>
          <t>Terça-feira</t>
        </is>
      </c>
      <c r="D229" s="11" t="n">
        <v>8</v>
      </c>
      <c r="E229" s="12" t="inlineStr">
        <is>
          <t>09h45–11h15</t>
        </is>
      </c>
      <c r="F229" s="12" t="inlineStr">
        <is>
          <t>2.º tempo lectivo</t>
        </is>
      </c>
      <c r="G229" s="13" t="inlineStr">
        <is>
          <t>UEPS</t>
        </is>
      </c>
      <c r="H229" s="14" t="inlineStr">
        <is>
          <t>UVIII — Revisão, consolidação e avaliação prática final</t>
        </is>
      </c>
      <c r="I229" s="14" t="inlineStr">
        <is>
          <t>Treino final de SBV com DAE e de imobilização, com correcção individual contra lista de verificação · Treino prático em estações com correcção individual</t>
        </is>
      </c>
      <c r="J229" s="12" t="inlineStr">
        <is>
          <t>Prof. Manuel Jorge Weber</t>
        </is>
      </c>
      <c r="K229" s="11" t="inlineStr">
        <is>
          <t>P</t>
        </is>
      </c>
      <c r="L229" s="11" t="n">
        <v>90</v>
      </c>
    </row>
    <row r="230">
      <c r="A230" s="3" t="n">
        <v>228</v>
      </c>
      <c r="B230" s="4" t="inlineStr">
        <is>
          <t>27/04/2027</t>
        </is>
      </c>
      <c r="C230" s="4" t="inlineStr">
        <is>
          <t>Terça-feira</t>
        </is>
      </c>
      <c r="D230" s="3" t="n">
        <v>8</v>
      </c>
      <c r="E230" s="4" t="inlineStr">
        <is>
          <t>11h15–12h15</t>
        </is>
      </c>
      <c r="F230" s="4" t="inlineStr">
        <is>
          <t>Bloco complementar</t>
        </is>
      </c>
      <c r="G230" s="5" t="inlineStr">
        <is>
          <t>EMC</t>
        </is>
      </c>
      <c r="H230" s="6" t="inlineStr">
        <is>
          <t>UVIII — Revisão, consolidação e avaliação final</t>
        </is>
      </c>
      <c r="I230" s="6" t="inlineStr">
        <is>
          <t>Revisão integrada das Unidades V a VII e preparação da avaliação final · Exposição e discussão dirigida</t>
        </is>
      </c>
      <c r="J230" s="4" t="inlineStr">
        <is>
          <t>Prof. Manuel Jorge Weber</t>
        </is>
      </c>
      <c r="K230" s="3" t="inlineStr">
        <is>
          <t>T</t>
        </is>
      </c>
      <c r="L230" s="3" t="n">
        <v>60</v>
      </c>
    </row>
    <row r="231">
      <c r="A231" s="15" t="n">
        <v>229</v>
      </c>
      <c r="B231" s="16" t="inlineStr">
        <is>
          <t>29/04/2027</t>
        </is>
      </c>
      <c r="C231" s="16" t="inlineStr">
        <is>
          <t>Quinta-feira</t>
        </is>
      </c>
      <c r="D231" s="15" t="n">
        <v>8</v>
      </c>
      <c r="E231" s="16" t="inlineStr">
        <is>
          <t>08h00–09h30</t>
        </is>
      </c>
      <c r="F231" s="16" t="inlineStr">
        <is>
          <t>1.º tempo lectivo</t>
        </is>
      </c>
      <c r="G231" s="17" t="inlineStr">
        <is>
          <t>SMON</t>
        </is>
      </c>
      <c r="H231" s="18" t="inlineStr">
        <is>
          <t>UVIII — Revisão, consolidação e avaliação final</t>
        </is>
      </c>
      <c r="I231" s="18" t="inlineStr">
        <is>
          <t>Revisão integrada das Unidades V a VII com simulação de emergência obstétrica · Demonstração da técnica e critérios de execução</t>
        </is>
      </c>
      <c r="J231" s="16" t="inlineStr">
        <is>
          <t>Prof. Eduardo David</t>
        </is>
      </c>
      <c r="K231" s="15" t="inlineStr">
        <is>
          <t>P</t>
        </is>
      </c>
      <c r="L231" s="15" t="n">
        <v>90</v>
      </c>
    </row>
    <row r="232">
      <c r="A232" s="7" t="n">
        <v>230</v>
      </c>
      <c r="B232" s="8" t="inlineStr">
        <is>
          <t>29/04/2027</t>
        </is>
      </c>
      <c r="C232" s="8" t="inlineStr">
        <is>
          <t>Quinta-feira</t>
        </is>
      </c>
      <c r="D232" s="7" t="n">
        <v>8</v>
      </c>
      <c r="E232" s="8" t="inlineStr">
        <is>
          <t>09h30–09h45</t>
        </is>
      </c>
      <c r="F232" s="8" t="inlineStr">
        <is>
          <t>Intervalo</t>
        </is>
      </c>
      <c r="G232" s="9" t="inlineStr">
        <is>
          <t>—</t>
        </is>
      </c>
      <c r="H232" s="10" t="inlineStr">
        <is>
          <t>—</t>
        </is>
      </c>
      <c r="I232" s="10" t="inlineStr">
        <is>
          <t>Intervalo regulamentar</t>
        </is>
      </c>
      <c r="J232" s="8" t="inlineStr">
        <is>
          <t>—</t>
        </is>
      </c>
      <c r="K232" s="7" t="inlineStr">
        <is>
          <t>—</t>
        </is>
      </c>
      <c r="L232" s="7" t="n">
        <v>15</v>
      </c>
    </row>
    <row r="233">
      <c r="A233" s="15" t="n">
        <v>231</v>
      </c>
      <c r="B233" s="16" t="inlineStr">
        <is>
          <t>29/04/2027</t>
        </is>
      </c>
      <c r="C233" s="16" t="inlineStr">
        <is>
          <t>Quinta-feira</t>
        </is>
      </c>
      <c r="D233" s="15" t="n">
        <v>8</v>
      </c>
      <c r="E233" s="16" t="inlineStr">
        <is>
          <t>09h45–11h15</t>
        </is>
      </c>
      <c r="F233" s="16" t="inlineStr">
        <is>
          <t>2.º tempo lectivo</t>
        </is>
      </c>
      <c r="G233" s="17" t="inlineStr">
        <is>
          <t>SMON</t>
        </is>
      </c>
      <c r="H233" s="18" t="inlineStr">
        <is>
          <t>UVIII — Revisão, consolidação e avaliação final</t>
        </is>
      </c>
      <c r="I233" s="18" t="inlineStr">
        <is>
          <t>Revisão integrada das Unidades V a VII com simulação de emergência obstétrica · Treino prático em estações com correcção individual</t>
        </is>
      </c>
      <c r="J233" s="16" t="inlineStr">
        <is>
          <t>Prof. Eduardo David</t>
        </is>
      </c>
      <c r="K233" s="15" t="inlineStr">
        <is>
          <t>P</t>
        </is>
      </c>
      <c r="L233" s="15" t="n">
        <v>90</v>
      </c>
    </row>
    <row r="234">
      <c r="A234" s="19" t="n">
        <v>232</v>
      </c>
      <c r="B234" s="20" t="inlineStr">
        <is>
          <t>29/04/2027</t>
        </is>
      </c>
      <c r="C234" s="20" t="inlineStr">
        <is>
          <t>Quinta-feira</t>
        </is>
      </c>
      <c r="D234" s="19" t="n">
        <v>8</v>
      </c>
      <c r="E234" s="20" t="inlineStr">
        <is>
          <t>11h15–12h15</t>
        </is>
      </c>
      <c r="F234" s="20" t="inlineStr">
        <is>
          <t>Bloco complementar</t>
        </is>
      </c>
      <c r="G234" s="21" t="inlineStr">
        <is>
          <t>EPSC</t>
        </is>
      </c>
      <c r="H234" s="22" t="inlineStr">
        <is>
          <t>UVIII — Revisão, consolidação e avaliação final</t>
        </is>
      </c>
      <c r="I234" s="22" t="inlineStr">
        <is>
          <t>Revisão integrada das Unidades V a VII e preparação da avaliação final · Exposição e discussão dirigida</t>
        </is>
      </c>
      <c r="J234" s="20" t="inlineStr">
        <is>
          <t>Prof. Eduardo David</t>
        </is>
      </c>
      <c r="K234" s="19" t="inlineStr">
        <is>
          <t>T</t>
        </is>
      </c>
      <c r="L234" s="19" t="n">
        <v>60</v>
      </c>
    </row>
    <row r="235">
      <c r="A235" s="3" t="n">
        <v>233</v>
      </c>
      <c r="B235" s="4" t="inlineStr">
        <is>
          <t>04/05/2027</t>
        </is>
      </c>
      <c r="C235" s="4" t="inlineStr">
        <is>
          <t>Terça-feira</t>
        </is>
      </c>
      <c r="D235" s="3" t="n">
        <v>8</v>
      </c>
      <c r="E235" s="4" t="inlineStr">
        <is>
          <t>08h00–09h30</t>
        </is>
      </c>
      <c r="F235" s="4" t="inlineStr">
        <is>
          <t>1.º tempo lectivo</t>
        </is>
      </c>
      <c r="G235" s="5" t="inlineStr">
        <is>
          <t>EMC</t>
        </is>
      </c>
      <c r="H235" s="6" t="inlineStr">
        <is>
          <t>UVIII — Revisão, consolidação e avaliação final</t>
        </is>
      </c>
      <c r="I235" s="6" t="inlineStr">
        <is>
          <t>Avaliação prática final em estações: penso, oxigenoterapia, cateterismo vesical, sonda nasogástrica e avaliação do doente · 1.ª série de estações práticas</t>
        </is>
      </c>
      <c r="J235" s="4" t="inlineStr">
        <is>
          <t>Prof. Manuel Jorge Weber</t>
        </is>
      </c>
      <c r="K235" s="3" t="inlineStr">
        <is>
          <t>Avaliação prática</t>
        </is>
      </c>
      <c r="L235" s="3" t="n">
        <v>90</v>
      </c>
    </row>
    <row r="236">
      <c r="A236" s="7" t="n">
        <v>234</v>
      </c>
      <c r="B236" s="8" t="inlineStr">
        <is>
          <t>04/05/2027</t>
        </is>
      </c>
      <c r="C236" s="8" t="inlineStr">
        <is>
          <t>Terça-feira</t>
        </is>
      </c>
      <c r="D236" s="7" t="n">
        <v>8</v>
      </c>
      <c r="E236" s="8" t="inlineStr">
        <is>
          <t>09h30–09h45</t>
        </is>
      </c>
      <c r="F236" s="8" t="inlineStr">
        <is>
          <t>Intervalo</t>
        </is>
      </c>
      <c r="G236" s="9" t="inlineStr">
        <is>
          <t>—</t>
        </is>
      </c>
      <c r="H236" s="10" t="inlineStr">
        <is>
          <t>—</t>
        </is>
      </c>
      <c r="I236" s="10" t="inlineStr">
        <is>
          <t>Intervalo regulamentar</t>
        </is>
      </c>
      <c r="J236" s="8" t="inlineStr">
        <is>
          <t>—</t>
        </is>
      </c>
      <c r="K236" s="7" t="inlineStr">
        <is>
          <t>—</t>
        </is>
      </c>
      <c r="L236" s="7" t="n">
        <v>15</v>
      </c>
    </row>
    <row r="237">
      <c r="A237" s="3" t="n">
        <v>235</v>
      </c>
      <c r="B237" s="4" t="inlineStr">
        <is>
          <t>04/05/2027</t>
        </is>
      </c>
      <c r="C237" s="4" t="inlineStr">
        <is>
          <t>Terça-feira</t>
        </is>
      </c>
      <c r="D237" s="3" t="n">
        <v>8</v>
      </c>
      <c r="E237" s="4" t="inlineStr">
        <is>
          <t>09h45–11h15</t>
        </is>
      </c>
      <c r="F237" s="4" t="inlineStr">
        <is>
          <t>2.º tempo lectivo</t>
        </is>
      </c>
      <c r="G237" s="5" t="inlineStr">
        <is>
          <t>EMC</t>
        </is>
      </c>
      <c r="H237" s="6" t="inlineStr">
        <is>
          <t>UVIII — Revisão, consolidação e avaliação final</t>
        </is>
      </c>
      <c r="I237" s="6" t="inlineStr">
        <is>
          <t>Avaliação prática final em estações: penso, oxigenoterapia, cateterismo vesical, sonda nasogástrica e avaliação do doente · 2.ª série de estações e devolução dos resultados</t>
        </is>
      </c>
      <c r="J237" s="4" t="inlineStr">
        <is>
          <t>Prof. Manuel Jorge Weber</t>
        </is>
      </c>
      <c r="K237" s="3" t="inlineStr">
        <is>
          <t>Avaliação prática</t>
        </is>
      </c>
      <c r="L237" s="3" t="n">
        <v>90</v>
      </c>
    </row>
    <row r="238">
      <c r="A238" s="11" t="n">
        <v>236</v>
      </c>
      <c r="B238" s="12" t="inlineStr">
        <is>
          <t>04/05/2027</t>
        </is>
      </c>
      <c r="C238" s="12" t="inlineStr">
        <is>
          <t>Terça-feira</t>
        </is>
      </c>
      <c r="D238" s="11" t="n">
        <v>8</v>
      </c>
      <c r="E238" s="12" t="inlineStr">
        <is>
          <t>11h15–12h15</t>
        </is>
      </c>
      <c r="F238" s="12" t="inlineStr">
        <is>
          <t>Bloco complementar</t>
        </is>
      </c>
      <c r="G238" s="13" t="inlineStr">
        <is>
          <t>UEPS</t>
        </is>
      </c>
      <c r="H238" s="14" t="inlineStr">
        <is>
          <t>UVIII — Revisão, consolidação e avaliação prática final</t>
        </is>
      </c>
      <c r="I238" s="14" t="inlineStr">
        <is>
          <t>Revisão integrada e preparação da avaliação final · Exposição e discussão dirigida</t>
        </is>
      </c>
      <c r="J238" s="12" t="inlineStr">
        <is>
          <t>Prof. Manuel Jorge Weber</t>
        </is>
      </c>
      <c r="K238" s="11" t="inlineStr">
        <is>
          <t>T</t>
        </is>
      </c>
      <c r="L238" s="11" t="n">
        <v>60</v>
      </c>
    </row>
    <row r="239">
      <c r="A239" s="19" t="n">
        <v>237</v>
      </c>
      <c r="B239" s="20" t="inlineStr">
        <is>
          <t>06/05/2027</t>
        </is>
      </c>
      <c r="C239" s="20" t="inlineStr">
        <is>
          <t>Quinta-feira</t>
        </is>
      </c>
      <c r="D239" s="19" t="n">
        <v>8</v>
      </c>
      <c r="E239" s="20" t="inlineStr">
        <is>
          <t>08h00–09h30</t>
        </is>
      </c>
      <c r="F239" s="20" t="inlineStr">
        <is>
          <t>1.º tempo lectivo</t>
        </is>
      </c>
      <c r="G239" s="21" t="inlineStr">
        <is>
          <t>EPSC</t>
        </is>
      </c>
      <c r="H239" s="22" t="inlineStr">
        <is>
          <t>UVIII — Revisão, consolidação e avaliação final</t>
        </is>
      </c>
      <c r="I239" s="22" t="inlineStr">
        <is>
          <t>Avaliação final prática em estações: antropometria, classificação de pneumonia, desidratação e cálculo de dose · 1.ª série de estações práticas</t>
        </is>
      </c>
      <c r="J239" s="20" t="inlineStr">
        <is>
          <t>Prof. Eduardo David</t>
        </is>
      </c>
      <c r="K239" s="19" t="inlineStr">
        <is>
          <t>Avaliação prática</t>
        </is>
      </c>
      <c r="L239" s="19" t="n">
        <v>90</v>
      </c>
    </row>
    <row r="240">
      <c r="A240" s="7" t="n">
        <v>238</v>
      </c>
      <c r="B240" s="8" t="inlineStr">
        <is>
          <t>06/05/2027</t>
        </is>
      </c>
      <c r="C240" s="8" t="inlineStr">
        <is>
          <t>Quinta-feira</t>
        </is>
      </c>
      <c r="D240" s="7" t="n">
        <v>8</v>
      </c>
      <c r="E240" s="8" t="inlineStr">
        <is>
          <t>09h30–09h45</t>
        </is>
      </c>
      <c r="F240" s="8" t="inlineStr">
        <is>
          <t>Intervalo</t>
        </is>
      </c>
      <c r="G240" s="9" t="inlineStr">
        <is>
          <t>—</t>
        </is>
      </c>
      <c r="H240" s="10" t="inlineStr">
        <is>
          <t>—</t>
        </is>
      </c>
      <c r="I240" s="10" t="inlineStr">
        <is>
          <t>Intervalo regulamentar</t>
        </is>
      </c>
      <c r="J240" s="8" t="inlineStr">
        <is>
          <t>—</t>
        </is>
      </c>
      <c r="K240" s="7" t="inlineStr">
        <is>
          <t>—</t>
        </is>
      </c>
      <c r="L240" s="7" t="n">
        <v>15</v>
      </c>
    </row>
    <row r="241">
      <c r="A241" s="19" t="n">
        <v>239</v>
      </c>
      <c r="B241" s="20" t="inlineStr">
        <is>
          <t>06/05/2027</t>
        </is>
      </c>
      <c r="C241" s="20" t="inlineStr">
        <is>
          <t>Quinta-feira</t>
        </is>
      </c>
      <c r="D241" s="19" t="n">
        <v>8</v>
      </c>
      <c r="E241" s="20" t="inlineStr">
        <is>
          <t>09h45–11h15</t>
        </is>
      </c>
      <c r="F241" s="20" t="inlineStr">
        <is>
          <t>2.º tempo lectivo</t>
        </is>
      </c>
      <c r="G241" s="21" t="inlineStr">
        <is>
          <t>EPSC</t>
        </is>
      </c>
      <c r="H241" s="22" t="inlineStr">
        <is>
          <t>UVIII — Revisão, consolidação e avaliação final</t>
        </is>
      </c>
      <c r="I241" s="22" t="inlineStr">
        <is>
          <t>Avaliação final prática em estações: antropometria, classificação de pneumonia, desidratação e cálculo de dose · 2.ª série de estações e devolução dos resultados</t>
        </is>
      </c>
      <c r="J241" s="20" t="inlineStr">
        <is>
          <t>Prof. Eduardo David</t>
        </is>
      </c>
      <c r="K241" s="19" t="inlineStr">
        <is>
          <t>Avaliação prática</t>
        </is>
      </c>
      <c r="L241" s="19" t="n">
        <v>90</v>
      </c>
    </row>
    <row r="242">
      <c r="A242" s="15" t="n">
        <v>240</v>
      </c>
      <c r="B242" s="16" t="inlineStr">
        <is>
          <t>06/05/2027</t>
        </is>
      </c>
      <c r="C242" s="16" t="inlineStr">
        <is>
          <t>Quinta-feira</t>
        </is>
      </c>
      <c r="D242" s="15" t="n">
        <v>8</v>
      </c>
      <c r="E242" s="16" t="inlineStr">
        <is>
          <t>11h15–12h15</t>
        </is>
      </c>
      <c r="F242" s="16" t="inlineStr">
        <is>
          <t>Bloco complementar</t>
        </is>
      </c>
      <c r="G242" s="17" t="inlineStr">
        <is>
          <t>SMON</t>
        </is>
      </c>
      <c r="H242" s="18" t="inlineStr">
        <is>
          <t>UVIII — Revisão, consolidação e avaliação final</t>
        </is>
      </c>
      <c r="I242" s="18" t="inlineStr">
        <is>
          <t>Preparação da avaliação final e esclarecimento de dúvidas · Exposição e discussão dirigida</t>
        </is>
      </c>
      <c r="J242" s="16" t="inlineStr">
        <is>
          <t>Prof. Eduardo David</t>
        </is>
      </c>
      <c r="K242" s="15" t="inlineStr">
        <is>
          <t>T</t>
        </is>
      </c>
      <c r="L242" s="15" t="n">
        <v>60</v>
      </c>
    </row>
    <row r="243">
      <c r="A243" s="11" t="n">
        <v>241</v>
      </c>
      <c r="B243" s="12" t="inlineStr">
        <is>
          <t>11/05/2027</t>
        </is>
      </c>
      <c r="C243" s="12" t="inlineStr">
        <is>
          <t>Terça-feira</t>
        </is>
      </c>
      <c r="D243" s="11" t="n">
        <v>8</v>
      </c>
      <c r="E243" s="12" t="inlineStr">
        <is>
          <t>08h00–09h30</t>
        </is>
      </c>
      <c r="F243" s="12" t="inlineStr">
        <is>
          <t>1.º tempo lectivo</t>
        </is>
      </c>
      <c r="G243" s="13" t="inlineStr">
        <is>
          <t>UEPS</t>
        </is>
      </c>
      <c r="H243" s="14" t="inlineStr">
        <is>
          <t>UVIII — Revisão, consolidação e avaliação prática final</t>
        </is>
      </c>
      <c r="I243" s="14" t="inlineStr">
        <is>
          <t>Avaliação prática final em estações: SBV com DAE, hemorragia, imobilização e cenário ABCDE · 1.ª série de estações práticas</t>
        </is>
      </c>
      <c r="J243" s="12" t="inlineStr">
        <is>
          <t>Prof. Manuel Jorge Weber</t>
        </is>
      </c>
      <c r="K243" s="11" t="inlineStr">
        <is>
          <t>Avaliação prática</t>
        </is>
      </c>
      <c r="L243" s="11" t="n">
        <v>90</v>
      </c>
    </row>
    <row r="244">
      <c r="A244" s="7" t="n">
        <v>242</v>
      </c>
      <c r="B244" s="8" t="inlineStr">
        <is>
          <t>11/05/2027</t>
        </is>
      </c>
      <c r="C244" s="8" t="inlineStr">
        <is>
          <t>Terça-feira</t>
        </is>
      </c>
      <c r="D244" s="7" t="n">
        <v>8</v>
      </c>
      <c r="E244" s="8" t="inlineStr">
        <is>
          <t>09h30–09h45</t>
        </is>
      </c>
      <c r="F244" s="8" t="inlineStr">
        <is>
          <t>Intervalo</t>
        </is>
      </c>
      <c r="G244" s="9" t="inlineStr">
        <is>
          <t>—</t>
        </is>
      </c>
      <c r="H244" s="10" t="inlineStr">
        <is>
          <t>—</t>
        </is>
      </c>
      <c r="I244" s="10" t="inlineStr">
        <is>
          <t>Intervalo regulamentar</t>
        </is>
      </c>
      <c r="J244" s="8" t="inlineStr">
        <is>
          <t>—</t>
        </is>
      </c>
      <c r="K244" s="7" t="inlineStr">
        <is>
          <t>—</t>
        </is>
      </c>
      <c r="L244" s="7" t="n">
        <v>15</v>
      </c>
    </row>
    <row r="245">
      <c r="A245" s="11" t="n">
        <v>243</v>
      </c>
      <c r="B245" s="12" t="inlineStr">
        <is>
          <t>11/05/2027</t>
        </is>
      </c>
      <c r="C245" s="12" t="inlineStr">
        <is>
          <t>Terça-feira</t>
        </is>
      </c>
      <c r="D245" s="11" t="n">
        <v>8</v>
      </c>
      <c r="E245" s="12" t="inlineStr">
        <is>
          <t>09h45–11h15</t>
        </is>
      </c>
      <c r="F245" s="12" t="inlineStr">
        <is>
          <t>2.º tempo lectivo</t>
        </is>
      </c>
      <c r="G245" s="13" t="inlineStr">
        <is>
          <t>UEPS</t>
        </is>
      </c>
      <c r="H245" s="14" t="inlineStr">
        <is>
          <t>UVIII — Revisão, consolidação e avaliação prática final</t>
        </is>
      </c>
      <c r="I245" s="14" t="inlineStr">
        <is>
          <t>Avaliação prática final em estações: SBV com DAE, hemorragia, imobilização e cenário ABCDE · 2.ª série de estações e devolução dos resultados</t>
        </is>
      </c>
      <c r="J245" s="12" t="inlineStr">
        <is>
          <t>Prof. Manuel Jorge Weber</t>
        </is>
      </c>
      <c r="K245" s="11" t="inlineStr">
        <is>
          <t>Avaliação prática</t>
        </is>
      </c>
      <c r="L245" s="11" t="n">
        <v>90</v>
      </c>
    </row>
    <row r="246">
      <c r="A246" s="3" t="n">
        <v>244</v>
      </c>
      <c r="B246" s="4" t="inlineStr">
        <is>
          <t>11/05/2027</t>
        </is>
      </c>
      <c r="C246" s="4" t="inlineStr">
        <is>
          <t>Terça-feira</t>
        </is>
      </c>
      <c r="D246" s="3" t="n">
        <v>8</v>
      </c>
      <c r="E246" s="4" t="inlineStr">
        <is>
          <t>11h15–12h15</t>
        </is>
      </c>
      <c r="F246" s="4" t="inlineStr">
        <is>
          <t>Bloco complementar</t>
        </is>
      </c>
      <c r="G246" s="5" t="inlineStr">
        <is>
          <t>EMC</t>
        </is>
      </c>
      <c r="H246" s="6" t="inlineStr">
        <is>
          <t>UVIII — Revisão, consolidação e avaliação final</t>
        </is>
      </c>
      <c r="I246" s="6" t="inlineStr">
        <is>
          <t>Avaliação final teórico-prática — componente escrita — e devolução dos resultados · Realização da prova escrita e correcção comentada</t>
        </is>
      </c>
      <c r="J246" s="4" t="inlineStr">
        <is>
          <t>Prof. Manuel Jorge Weber</t>
        </is>
      </c>
      <c r="K246" s="3" t="inlineStr">
        <is>
          <t>Avaliação escrita</t>
        </is>
      </c>
      <c r="L246" s="3" t="n">
        <v>60</v>
      </c>
    </row>
    <row r="247">
      <c r="A247" s="15" t="n">
        <v>245</v>
      </c>
      <c r="B247" s="16" t="inlineStr">
        <is>
          <t>13/05/2027</t>
        </is>
      </c>
      <c r="C247" s="16" t="inlineStr">
        <is>
          <t>Quinta-feira</t>
        </is>
      </c>
      <c r="D247" s="15" t="n">
        <v>8</v>
      </c>
      <c r="E247" s="16" t="inlineStr">
        <is>
          <t>08h00–09h30</t>
        </is>
      </c>
      <c r="F247" s="16" t="inlineStr">
        <is>
          <t>1.º tempo lectivo</t>
        </is>
      </c>
      <c r="G247" s="17" t="inlineStr">
        <is>
          <t>SMON</t>
        </is>
      </c>
      <c r="H247" s="18" t="inlineStr">
        <is>
          <t>UVIII — Revisão, consolidação e avaliação final</t>
        </is>
      </c>
      <c r="I247" s="18" t="inlineStr">
        <is>
          <t>Avaliação final em estações: consulta pré-natal, partograma, parto em modelo e reanimação neonatal · 1.ª série de estações práticas</t>
        </is>
      </c>
      <c r="J247" s="16" t="inlineStr">
        <is>
          <t>Prof. Eduardo David</t>
        </is>
      </c>
      <c r="K247" s="15" t="inlineStr">
        <is>
          <t>Avaliação prática</t>
        </is>
      </c>
      <c r="L247" s="15" t="n">
        <v>90</v>
      </c>
    </row>
    <row r="248">
      <c r="A248" s="7" t="n">
        <v>246</v>
      </c>
      <c r="B248" s="8" t="inlineStr">
        <is>
          <t>13/05/2027</t>
        </is>
      </c>
      <c r="C248" s="8" t="inlineStr">
        <is>
          <t>Quinta-feira</t>
        </is>
      </c>
      <c r="D248" s="7" t="n">
        <v>8</v>
      </c>
      <c r="E248" s="8" t="inlineStr">
        <is>
          <t>09h30–09h45</t>
        </is>
      </c>
      <c r="F248" s="8" t="inlineStr">
        <is>
          <t>Intervalo</t>
        </is>
      </c>
      <c r="G248" s="9" t="inlineStr">
        <is>
          <t>—</t>
        </is>
      </c>
      <c r="H248" s="10" t="inlineStr">
        <is>
          <t>—</t>
        </is>
      </c>
      <c r="I248" s="10" t="inlineStr">
        <is>
          <t>Intervalo regulamentar</t>
        </is>
      </c>
      <c r="J248" s="8" t="inlineStr">
        <is>
          <t>—</t>
        </is>
      </c>
      <c r="K248" s="7" t="inlineStr">
        <is>
          <t>—</t>
        </is>
      </c>
      <c r="L248" s="7" t="n">
        <v>15</v>
      </c>
    </row>
    <row r="249">
      <c r="A249" s="15" t="n">
        <v>247</v>
      </c>
      <c r="B249" s="16" t="inlineStr">
        <is>
          <t>13/05/2027</t>
        </is>
      </c>
      <c r="C249" s="16" t="inlineStr">
        <is>
          <t>Quinta-feira</t>
        </is>
      </c>
      <c r="D249" s="15" t="n">
        <v>8</v>
      </c>
      <c r="E249" s="16" t="inlineStr">
        <is>
          <t>09h45–11h15</t>
        </is>
      </c>
      <c r="F249" s="16" t="inlineStr">
        <is>
          <t>2.º tempo lectivo</t>
        </is>
      </c>
      <c r="G249" s="17" t="inlineStr">
        <is>
          <t>SMON</t>
        </is>
      </c>
      <c r="H249" s="18" t="inlineStr">
        <is>
          <t>UVIII — Revisão, consolidação e avaliação final</t>
        </is>
      </c>
      <c r="I249" s="18" t="inlineStr">
        <is>
          <t>Avaliação final em estações: consulta pré-natal, partograma, parto em modelo e reanimação neonatal · 2.ª série de estações e devolução dos resultados</t>
        </is>
      </c>
      <c r="J249" s="16" t="inlineStr">
        <is>
          <t>Prof. Eduardo David</t>
        </is>
      </c>
      <c r="K249" s="15" t="inlineStr">
        <is>
          <t>Avaliação prática</t>
        </is>
      </c>
      <c r="L249" s="15" t="n">
        <v>90</v>
      </c>
    </row>
    <row r="250">
      <c r="A250" s="19" t="n">
        <v>248</v>
      </c>
      <c r="B250" s="20" t="inlineStr">
        <is>
          <t>13/05/2027</t>
        </is>
      </c>
      <c r="C250" s="20" t="inlineStr">
        <is>
          <t>Quinta-feira</t>
        </is>
      </c>
      <c r="D250" s="19" t="n">
        <v>8</v>
      </c>
      <c r="E250" s="20" t="inlineStr">
        <is>
          <t>11h15–12h15</t>
        </is>
      </c>
      <c r="F250" s="20" t="inlineStr">
        <is>
          <t>Bloco complementar</t>
        </is>
      </c>
      <c r="G250" s="21" t="inlineStr">
        <is>
          <t>EPSC</t>
        </is>
      </c>
      <c r="H250" s="22" t="inlineStr">
        <is>
          <t>UVIII — Revisão, consolidação e avaliação final</t>
        </is>
      </c>
      <c r="I250" s="22" t="inlineStr">
        <is>
          <t>Avaliação final teórico-prática — componente escrita — e devolução dos resultados · Realização da prova escrita e correcção comentada</t>
        </is>
      </c>
      <c r="J250" s="20" t="inlineStr">
        <is>
          <t>Prof. Eduardo David</t>
        </is>
      </c>
      <c r="K250" s="19" t="inlineStr">
        <is>
          <t>Avaliação escrita</t>
        </is>
      </c>
      <c r="L250" s="19" t="n">
        <v>60</v>
      </c>
    </row>
  </sheetData>
  <autoFilter ref="A2:L250"/>
  <mergeCells count="1">
    <mergeCell ref="A1:L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9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Folha de verificação — todos os valores são calculados por fórmula a partir da folha «Cronograma»</t>
        </is>
      </c>
    </row>
    <row r="3" ht="20" customHeight="1">
      <c r="A3" s="27" t="inlineStr">
        <is>
          <t>1 · Horas por disciplina</t>
        </is>
      </c>
    </row>
    <row r="4">
      <c r="A4" s="28" t="inlineStr">
        <is>
          <t>Disciplina</t>
        </is>
      </c>
      <c r="B4" s="28" t="inlineStr">
        <is>
          <t>Minutos</t>
        </is>
      </c>
      <c r="C4" s="28" t="inlineStr">
        <is>
          <t>Horas</t>
        </is>
      </c>
      <c r="D4" s="28" t="inlineStr">
        <is>
          <t>Teórica</t>
        </is>
      </c>
      <c r="E4" s="28" t="inlineStr">
        <is>
          <t>Prática</t>
        </is>
      </c>
      <c r="F4" s="28" t="inlineStr">
        <is>
          <t>% prática</t>
        </is>
      </c>
      <c r="G4" s="28" t="inlineStr">
        <is>
          <t>Mínimo</t>
        </is>
      </c>
    </row>
    <row r="5">
      <c r="A5" s="29" t="inlineStr">
        <is>
          <t>EMC</t>
        </is>
      </c>
      <c r="B5" s="30">
        <f>SUMIF(Cronograma!$G$3:$G$250,"EMC",Cronograma!$L$3:$L$250)</f>
        <v/>
      </c>
      <c r="C5" s="31">
        <f>B5/60</f>
        <v/>
      </c>
      <c r="D5" s="31">
        <f>(SUMIFS(Cronograma!$L$3:$L$250,Cronograma!$G$3:$G$250,"EMC",Cronograma!$K$3:$K$250,"T")+SUMIFS(Cronograma!$L$3:$L$250,Cronograma!$G$3:$G$250,"EMC",Cronograma!$K$3:$K$250,"TP")+SUMIFS(Cronograma!$L$3:$L$250,Cronograma!$G$3:$G$250,"EMC",Cronograma!$K$3:$K$250,"Avaliação escrita"))/60</f>
        <v/>
      </c>
      <c r="E5" s="31">
        <f>C5-D5</f>
        <v/>
      </c>
      <c r="F5" s="32">
        <f>E5/C5</f>
        <v/>
      </c>
      <c r="G5" s="33" t="n">
        <v>0.5</v>
      </c>
    </row>
    <row r="6">
      <c r="A6" s="29" t="inlineStr">
        <is>
          <t>UEPS</t>
        </is>
      </c>
      <c r="B6" s="30">
        <f>SUMIF(Cronograma!$G$3:$G$250,"UEPS",Cronograma!$L$3:$L$250)</f>
        <v/>
      </c>
      <c r="C6" s="31">
        <f>B6/60</f>
        <v/>
      </c>
      <c r="D6" s="31">
        <f>(SUMIFS(Cronograma!$L$3:$L$250,Cronograma!$G$3:$G$250,"UEPS",Cronograma!$K$3:$K$250,"T")+SUMIFS(Cronograma!$L$3:$L$250,Cronograma!$G$3:$G$250,"UEPS",Cronograma!$K$3:$K$250,"TP")+SUMIFS(Cronograma!$L$3:$L$250,Cronograma!$G$3:$G$250,"UEPS",Cronograma!$K$3:$K$250,"Avaliação escrita"))/60</f>
        <v/>
      </c>
      <c r="E6" s="31">
        <f>C6-D6</f>
        <v/>
      </c>
      <c r="F6" s="32">
        <f>E6/C6</f>
        <v/>
      </c>
      <c r="G6" s="33" t="n">
        <v>0.6</v>
      </c>
    </row>
    <row r="7">
      <c r="A7" s="29" t="inlineStr">
        <is>
          <t>SMON</t>
        </is>
      </c>
      <c r="B7" s="30">
        <f>SUMIF(Cronograma!$G$3:$G$250,"SMON",Cronograma!$L$3:$L$250)</f>
        <v/>
      </c>
      <c r="C7" s="31">
        <f>B7/60</f>
        <v/>
      </c>
      <c r="D7" s="31">
        <f>(SUMIFS(Cronograma!$L$3:$L$250,Cronograma!$G$3:$G$250,"SMON",Cronograma!$K$3:$K$250,"T")+SUMIFS(Cronograma!$L$3:$L$250,Cronograma!$G$3:$G$250,"SMON",Cronograma!$K$3:$K$250,"TP")+SUMIFS(Cronograma!$L$3:$L$250,Cronograma!$G$3:$G$250,"SMON",Cronograma!$K$3:$K$250,"Avaliação escrita"))/60</f>
        <v/>
      </c>
      <c r="E7" s="31">
        <f>C7-D7</f>
        <v/>
      </c>
      <c r="F7" s="32">
        <f>E7/C7</f>
        <v/>
      </c>
      <c r="G7" s="33" t="n">
        <v>0.5</v>
      </c>
    </row>
    <row r="8">
      <c r="A8" s="29" t="inlineStr">
        <is>
          <t>EPSC</t>
        </is>
      </c>
      <c r="B8" s="30">
        <f>SUMIF(Cronograma!$G$3:$G$250,"EPSC",Cronograma!$L$3:$L$250)</f>
        <v/>
      </c>
      <c r="C8" s="31">
        <f>B8/60</f>
        <v/>
      </c>
      <c r="D8" s="31">
        <f>(SUMIFS(Cronograma!$L$3:$L$250,Cronograma!$G$3:$G$250,"EPSC",Cronograma!$K$3:$K$250,"T")+SUMIFS(Cronograma!$L$3:$L$250,Cronograma!$G$3:$G$250,"EPSC",Cronograma!$K$3:$K$250,"TP")+SUMIFS(Cronograma!$L$3:$L$250,Cronograma!$G$3:$G$250,"EPSC",Cronograma!$K$3:$K$250,"Avaliação escrita"))/60</f>
        <v/>
      </c>
      <c r="E8" s="31">
        <f>C8-D8</f>
        <v/>
      </c>
      <c r="F8" s="32">
        <f>E8/C8</f>
        <v/>
      </c>
      <c r="G8" s="33" t="n">
        <v>0.5</v>
      </c>
    </row>
    <row r="9">
      <c r="A9" s="29" t="inlineStr">
        <is>
          <t>SEM</t>
        </is>
      </c>
      <c r="B9" s="30">
        <f>SUMIF(Cronograma!$G$3:$G$250,"SEM",Cronograma!$L$3:$L$250)</f>
        <v/>
      </c>
      <c r="C9" s="31">
        <f>B9/60</f>
        <v/>
      </c>
      <c r="D9" s="31">
        <f>(SUMIFS(Cronograma!$L$3:$L$250,Cronograma!$G$3:$G$250,"SEM",Cronograma!$K$3:$K$250,"T")+SUMIFS(Cronograma!$L$3:$L$250,Cronograma!$G$3:$G$250,"SEM",Cronograma!$K$3:$K$250,"TP")+SUMIFS(Cronograma!$L$3:$L$250,Cronograma!$G$3:$G$250,"SEM",Cronograma!$K$3:$K$250,"Avaliação escrita"))/60</f>
        <v/>
      </c>
      <c r="E9" s="31">
        <f>C9-D9</f>
        <v/>
      </c>
      <c r="F9" s="32">
        <f>E9/C9</f>
        <v/>
      </c>
      <c r="G9" s="34" t="inlineStr">
        <is>
          <t>—</t>
        </is>
      </c>
    </row>
    <row r="10">
      <c r="A10" s="28" t="inlineStr">
        <is>
          <t>TOTAL</t>
        </is>
      </c>
      <c r="B10" s="35">
        <f>SUM(B5:B9)</f>
        <v/>
      </c>
      <c r="C10" s="36">
        <f>SUM(C5:C9)</f>
        <v/>
      </c>
      <c r="D10" s="36">
        <f>SUM(D5:D9)</f>
        <v/>
      </c>
      <c r="E10" s="36">
        <f>SUM(E5:E9)</f>
        <v/>
      </c>
      <c r="F10" s="37">
        <f>E10/C10</f>
        <v/>
      </c>
    </row>
    <row r="12">
      <c r="A12" s="29" t="inlineStr">
        <is>
          <t>Verificação do total do ciclo</t>
        </is>
      </c>
      <c r="C12" s="38">
        <f>IF(C10=248,"CONFERE","DIVERGE")</f>
        <v/>
      </c>
      <c r="D12" s="34" t="inlineStr">
        <is>
          <t>esperado: 248 h</t>
        </is>
      </c>
    </row>
    <row r="13">
      <c r="A13" s="29" t="inlineStr">
        <is>
          <t>Verificação dos mínimos de componente prática</t>
        </is>
      </c>
      <c r="C13" s="38">
        <f>IF(AND(F5&gt;=G5,F6&gt;=G6,F7&gt;=G7,F8&gt;=G8),"CUMPRE","NÃO CUMPRE")</f>
        <v/>
      </c>
    </row>
    <row r="16" ht="20" customHeight="1">
      <c r="A16" s="27" t="inlineStr">
        <is>
          <t>2 · Horas por mês e por disciplina</t>
        </is>
      </c>
    </row>
    <row r="17">
      <c r="A17" s="28" t="inlineStr">
        <is>
          <t>Mês</t>
        </is>
      </c>
      <c r="B17" s="28" t="inlineStr">
        <is>
          <t>EMC</t>
        </is>
      </c>
      <c r="C17" s="28" t="inlineStr">
        <is>
          <t>UEPS</t>
        </is>
      </c>
      <c r="D17" s="28" t="inlineStr">
        <is>
          <t>SMON</t>
        </is>
      </c>
      <c r="E17" s="28" t="inlineStr">
        <is>
          <t>EPSC</t>
        </is>
      </c>
      <c r="F17" s="28" t="inlineStr">
        <is>
          <t>SEM</t>
        </is>
      </c>
      <c r="G17" s="28" t="inlineStr">
        <is>
          <t>Total</t>
        </is>
      </c>
    </row>
    <row r="18">
      <c r="A18" s="34" t="inlineStr">
        <is>
          <t>Mês 1 (15/09/2026 – 14/10/2026)</t>
        </is>
      </c>
      <c r="B18" s="31">
        <f>SUMIFS(Cronograma!$L$3:$L$250,Cronograma!$G$3:$G$250,"EMC",Cronograma!$D$3:$D$250,1)/60</f>
        <v/>
      </c>
      <c r="C18" s="31">
        <f>SUMIFS(Cronograma!$L$3:$L$250,Cronograma!$G$3:$G$250,"UEPS",Cronograma!$D$3:$D$250,1)/60</f>
        <v/>
      </c>
      <c r="D18" s="31">
        <f>SUMIFS(Cronograma!$L$3:$L$250,Cronograma!$G$3:$G$250,"SMON",Cronograma!$D$3:$D$250,1)/60</f>
        <v/>
      </c>
      <c r="E18" s="31">
        <f>SUMIFS(Cronograma!$L$3:$L$250,Cronograma!$G$3:$G$250,"EPSC",Cronograma!$D$3:$D$250,1)/60</f>
        <v/>
      </c>
      <c r="F18" s="31">
        <f>SUMIFS(Cronograma!$L$3:$L$250,Cronograma!$G$3:$G$250,"SEM",Cronograma!$D$3:$D$250,1)/60</f>
        <v/>
      </c>
      <c r="G18" s="39">
        <f>SUM(B18:F18)</f>
        <v/>
      </c>
    </row>
    <row r="19">
      <c r="A19" s="34" t="inlineStr">
        <is>
          <t>Mês 2 (15/10/2026 – 14/11/2026)</t>
        </is>
      </c>
      <c r="B19" s="31">
        <f>SUMIFS(Cronograma!$L$3:$L$250,Cronograma!$G$3:$G$250,"EMC",Cronograma!$D$3:$D$250,2)/60</f>
        <v/>
      </c>
      <c r="C19" s="31">
        <f>SUMIFS(Cronograma!$L$3:$L$250,Cronograma!$G$3:$G$250,"UEPS",Cronograma!$D$3:$D$250,2)/60</f>
        <v/>
      </c>
      <c r="D19" s="31">
        <f>SUMIFS(Cronograma!$L$3:$L$250,Cronograma!$G$3:$G$250,"SMON",Cronograma!$D$3:$D$250,2)/60</f>
        <v/>
      </c>
      <c r="E19" s="31">
        <f>SUMIFS(Cronograma!$L$3:$L$250,Cronograma!$G$3:$G$250,"EPSC",Cronograma!$D$3:$D$250,2)/60</f>
        <v/>
      </c>
      <c r="F19" s="31">
        <f>SUMIFS(Cronograma!$L$3:$L$250,Cronograma!$G$3:$G$250,"SEM",Cronograma!$D$3:$D$250,2)/60</f>
        <v/>
      </c>
      <c r="G19" s="39">
        <f>SUM(B19:F19)</f>
        <v/>
      </c>
    </row>
    <row r="20">
      <c r="A20" s="34" t="inlineStr">
        <is>
          <t>Mês 3 (15/11/2026 – 14/12/2026)</t>
        </is>
      </c>
      <c r="B20" s="31">
        <f>SUMIFS(Cronograma!$L$3:$L$250,Cronograma!$G$3:$G$250,"EMC",Cronograma!$D$3:$D$250,3)/60</f>
        <v/>
      </c>
      <c r="C20" s="31">
        <f>SUMIFS(Cronograma!$L$3:$L$250,Cronograma!$G$3:$G$250,"UEPS",Cronograma!$D$3:$D$250,3)/60</f>
        <v/>
      </c>
      <c r="D20" s="31">
        <f>SUMIFS(Cronograma!$L$3:$L$250,Cronograma!$G$3:$G$250,"SMON",Cronograma!$D$3:$D$250,3)/60</f>
        <v/>
      </c>
      <c r="E20" s="31">
        <f>SUMIFS(Cronograma!$L$3:$L$250,Cronograma!$G$3:$G$250,"EPSC",Cronograma!$D$3:$D$250,3)/60</f>
        <v/>
      </c>
      <c r="F20" s="31">
        <f>SUMIFS(Cronograma!$L$3:$L$250,Cronograma!$G$3:$G$250,"SEM",Cronograma!$D$3:$D$250,3)/60</f>
        <v/>
      </c>
      <c r="G20" s="39">
        <f>SUM(B20:F20)</f>
        <v/>
      </c>
    </row>
    <row r="21">
      <c r="A21" s="34" t="inlineStr">
        <is>
          <t>Mês 4 (15/12/2026 – 14/01/2027)</t>
        </is>
      </c>
      <c r="B21" s="31">
        <f>SUMIFS(Cronograma!$L$3:$L$250,Cronograma!$G$3:$G$250,"EMC",Cronograma!$D$3:$D$250,4)/60</f>
        <v/>
      </c>
      <c r="C21" s="31">
        <f>SUMIFS(Cronograma!$L$3:$L$250,Cronograma!$G$3:$G$250,"UEPS",Cronograma!$D$3:$D$250,4)/60</f>
        <v/>
      </c>
      <c r="D21" s="31">
        <f>SUMIFS(Cronograma!$L$3:$L$250,Cronograma!$G$3:$G$250,"SMON",Cronograma!$D$3:$D$250,4)/60</f>
        <v/>
      </c>
      <c r="E21" s="31">
        <f>SUMIFS(Cronograma!$L$3:$L$250,Cronograma!$G$3:$G$250,"EPSC",Cronograma!$D$3:$D$250,4)/60</f>
        <v/>
      </c>
      <c r="F21" s="31">
        <f>SUMIFS(Cronograma!$L$3:$L$250,Cronograma!$G$3:$G$250,"SEM",Cronograma!$D$3:$D$250,4)/60</f>
        <v/>
      </c>
      <c r="G21" s="39">
        <f>SUM(B21:F21)</f>
        <v/>
      </c>
    </row>
    <row r="22">
      <c r="A22" s="34" t="inlineStr">
        <is>
          <t>Mês 5 (15/01/2027 – 14/02/2027)</t>
        </is>
      </c>
      <c r="B22" s="31">
        <f>SUMIFS(Cronograma!$L$3:$L$250,Cronograma!$G$3:$G$250,"EMC",Cronograma!$D$3:$D$250,5)/60</f>
        <v/>
      </c>
      <c r="C22" s="31">
        <f>SUMIFS(Cronograma!$L$3:$L$250,Cronograma!$G$3:$G$250,"UEPS",Cronograma!$D$3:$D$250,5)/60</f>
        <v/>
      </c>
      <c r="D22" s="31">
        <f>SUMIFS(Cronograma!$L$3:$L$250,Cronograma!$G$3:$G$250,"SMON",Cronograma!$D$3:$D$250,5)/60</f>
        <v/>
      </c>
      <c r="E22" s="31">
        <f>SUMIFS(Cronograma!$L$3:$L$250,Cronograma!$G$3:$G$250,"EPSC",Cronograma!$D$3:$D$250,5)/60</f>
        <v/>
      </c>
      <c r="F22" s="31">
        <f>SUMIFS(Cronograma!$L$3:$L$250,Cronograma!$G$3:$G$250,"SEM",Cronograma!$D$3:$D$250,5)/60</f>
        <v/>
      </c>
      <c r="G22" s="39">
        <f>SUM(B22:F22)</f>
        <v/>
      </c>
    </row>
    <row r="23">
      <c r="A23" s="34" t="inlineStr">
        <is>
          <t>Mês 6 (15/02/2027 – 14/03/2027)</t>
        </is>
      </c>
      <c r="B23" s="31">
        <f>SUMIFS(Cronograma!$L$3:$L$250,Cronograma!$G$3:$G$250,"EMC",Cronograma!$D$3:$D$250,6)/60</f>
        <v/>
      </c>
      <c r="C23" s="31">
        <f>SUMIFS(Cronograma!$L$3:$L$250,Cronograma!$G$3:$G$250,"UEPS",Cronograma!$D$3:$D$250,6)/60</f>
        <v/>
      </c>
      <c r="D23" s="31">
        <f>SUMIFS(Cronograma!$L$3:$L$250,Cronograma!$G$3:$G$250,"SMON",Cronograma!$D$3:$D$250,6)/60</f>
        <v/>
      </c>
      <c r="E23" s="31">
        <f>SUMIFS(Cronograma!$L$3:$L$250,Cronograma!$G$3:$G$250,"EPSC",Cronograma!$D$3:$D$250,6)/60</f>
        <v/>
      </c>
      <c r="F23" s="31">
        <f>SUMIFS(Cronograma!$L$3:$L$250,Cronograma!$G$3:$G$250,"SEM",Cronograma!$D$3:$D$250,6)/60</f>
        <v/>
      </c>
      <c r="G23" s="39">
        <f>SUM(B23:F23)</f>
        <v/>
      </c>
    </row>
    <row r="24">
      <c r="A24" s="34" t="inlineStr">
        <is>
          <t>Mês 7 (15/03/2027 – 14/04/2027)</t>
        </is>
      </c>
      <c r="B24" s="31">
        <f>SUMIFS(Cronograma!$L$3:$L$250,Cronograma!$G$3:$G$250,"EMC",Cronograma!$D$3:$D$250,7)/60</f>
        <v/>
      </c>
      <c r="C24" s="31">
        <f>SUMIFS(Cronograma!$L$3:$L$250,Cronograma!$G$3:$G$250,"UEPS",Cronograma!$D$3:$D$250,7)/60</f>
        <v/>
      </c>
      <c r="D24" s="31">
        <f>SUMIFS(Cronograma!$L$3:$L$250,Cronograma!$G$3:$G$250,"SMON",Cronograma!$D$3:$D$250,7)/60</f>
        <v/>
      </c>
      <c r="E24" s="31">
        <f>SUMIFS(Cronograma!$L$3:$L$250,Cronograma!$G$3:$G$250,"EPSC",Cronograma!$D$3:$D$250,7)/60</f>
        <v/>
      </c>
      <c r="F24" s="31">
        <f>SUMIFS(Cronograma!$L$3:$L$250,Cronograma!$G$3:$G$250,"SEM",Cronograma!$D$3:$D$250,7)/60</f>
        <v/>
      </c>
      <c r="G24" s="39">
        <f>SUM(B24:F24)</f>
        <v/>
      </c>
    </row>
    <row r="25">
      <c r="A25" s="34" t="inlineStr">
        <is>
          <t>Mês 8 (15/04/2027 – 13/05/2027)</t>
        </is>
      </c>
      <c r="B25" s="31">
        <f>SUMIFS(Cronograma!$L$3:$L$250,Cronograma!$G$3:$G$250,"EMC",Cronograma!$D$3:$D$250,8)/60</f>
        <v/>
      </c>
      <c r="C25" s="31">
        <f>SUMIFS(Cronograma!$L$3:$L$250,Cronograma!$G$3:$G$250,"UEPS",Cronograma!$D$3:$D$250,8)/60</f>
        <v/>
      </c>
      <c r="D25" s="31">
        <f>SUMIFS(Cronograma!$L$3:$L$250,Cronograma!$G$3:$G$250,"SMON",Cronograma!$D$3:$D$250,8)/60</f>
        <v/>
      </c>
      <c r="E25" s="31">
        <f>SUMIFS(Cronograma!$L$3:$L$250,Cronograma!$G$3:$G$250,"EPSC",Cronograma!$D$3:$D$250,8)/60</f>
        <v/>
      </c>
      <c r="F25" s="31">
        <f>SUMIFS(Cronograma!$L$3:$L$250,Cronograma!$G$3:$G$250,"SEM",Cronograma!$D$3:$D$250,8)/60</f>
        <v/>
      </c>
      <c r="G25" s="39">
        <f>SUM(B25:F25)</f>
        <v/>
      </c>
    </row>
    <row r="26">
      <c r="A26" s="28" t="inlineStr">
        <is>
          <t>TOTAL</t>
        </is>
      </c>
      <c r="B26" s="36">
        <f>SUM(B18:B25)</f>
        <v/>
      </c>
      <c r="C26" s="36">
        <f>SUM(C18:C25)</f>
        <v/>
      </c>
      <c r="D26" s="36">
        <f>SUM(D18:D25)</f>
        <v/>
      </c>
      <c r="E26" s="36">
        <f>SUM(E18:E25)</f>
        <v/>
      </c>
      <c r="F26" s="36">
        <f>SUM(F18:F25)</f>
        <v/>
      </c>
      <c r="G26" s="36">
        <f>SUM(G18:G25)</f>
        <v/>
      </c>
    </row>
    <row r="27">
      <c r="A27" s="29" t="inlineStr">
        <is>
          <t>Presença das 4 disciplinas em todos os 8 meses</t>
        </is>
      </c>
      <c r="B27" s="38">
        <f>IF(COUNTIF(B18:E25,0)=0,"SIM","NÃO")</f>
        <v/>
      </c>
    </row>
    <row r="30" ht="20" customHeight="1">
      <c r="A30" s="27" t="inlineStr">
        <is>
          <t>3 · Horas por tipo de sessão</t>
        </is>
      </c>
    </row>
    <row r="31">
      <c r="A31" s="28" t="inlineStr">
        <is>
          <t>Tipo</t>
        </is>
      </c>
      <c r="B31" s="28" t="inlineStr">
        <is>
          <t>Minutos</t>
        </is>
      </c>
      <c r="C31" s="28" t="inlineStr">
        <is>
          <t>Horas</t>
        </is>
      </c>
      <c r="D31" s="28" t="inlineStr">
        <is>
          <t>% do ciclo</t>
        </is>
      </c>
    </row>
    <row r="32">
      <c r="A32" s="29" t="inlineStr">
        <is>
          <t>T — Teórica</t>
        </is>
      </c>
      <c r="B32" s="30">
        <f>SUMIF(Cronograma!$K$3:$K$250,"T",Cronograma!$L$3:$L$250)</f>
        <v/>
      </c>
      <c r="C32" s="31">
        <f>B32/60</f>
        <v/>
      </c>
      <c r="D32" s="32">
        <f>C32/248</f>
        <v/>
      </c>
    </row>
    <row r="33">
      <c r="A33" s="29" t="inlineStr">
        <is>
          <t>TP — Teórico-prática</t>
        </is>
      </c>
      <c r="B33" s="30">
        <f>SUMIF(Cronograma!$K$3:$K$250,"TP",Cronograma!$L$3:$L$250)</f>
        <v/>
      </c>
      <c r="C33" s="31">
        <f>B33/60</f>
        <v/>
      </c>
      <c r="D33" s="32">
        <f>C33/248</f>
        <v/>
      </c>
    </row>
    <row r="34">
      <c r="A34" s="29" t="inlineStr">
        <is>
          <t>P — Prática</t>
        </is>
      </c>
      <c r="B34" s="30">
        <f>SUMIF(Cronograma!$K$3:$K$250,"P",Cronograma!$L$3:$L$250)</f>
        <v/>
      </c>
      <c r="C34" s="31">
        <f>B34/60</f>
        <v/>
      </c>
      <c r="D34" s="32">
        <f>C34/248</f>
        <v/>
      </c>
    </row>
    <row r="35">
      <c r="A35" s="29" t="inlineStr">
        <is>
          <t>Avaliação escrita — Avaliação escrita</t>
        </is>
      </c>
      <c r="B35" s="30">
        <f>SUMIF(Cronograma!$K$3:$K$250,"Avaliação escrita",Cronograma!$L$3:$L$250)</f>
        <v/>
      </c>
      <c r="C35" s="31">
        <f>B35/60</f>
        <v/>
      </c>
      <c r="D35" s="32">
        <f>C35/248</f>
        <v/>
      </c>
    </row>
    <row r="36">
      <c r="A36" s="29" t="inlineStr">
        <is>
          <t>Avaliação prática — Avaliação prática</t>
        </is>
      </c>
      <c r="B36" s="30">
        <f>SUMIF(Cronograma!$K$3:$K$250,"Avaliação prática",Cronograma!$L$3:$L$250)</f>
        <v/>
      </c>
      <c r="C36" s="31">
        <f>B36/60</f>
        <v/>
      </c>
      <c r="D36" s="32">
        <f>C36/248</f>
        <v/>
      </c>
    </row>
    <row r="37">
      <c r="A37" s="29" t="inlineStr">
        <is>
          <t>Intervalos (não contam como formação)</t>
        </is>
      </c>
      <c r="B37" s="30">
        <f>SUMIF(Cronograma!$K$3:$K$250,"—",Cronograma!$L$3:$L$250)</f>
        <v/>
      </c>
      <c r="C37" s="31">
        <f>B37/60</f>
        <v/>
      </c>
      <c r="D37" s="34" t="inlineStr">
        <is>
          <t>—</t>
        </is>
      </c>
    </row>
    <row r="38">
      <c r="A38" s="28" t="inlineStr">
        <is>
          <t>TOTAL de formação efectiva</t>
        </is>
      </c>
      <c r="B38" s="35">
        <f>SUM(B32:B36)</f>
        <v/>
      </c>
      <c r="C38" s="36">
        <f>C32+C33+C34+C35+C36</f>
        <v/>
      </c>
      <c r="D38" s="37">
        <f>C38/248</f>
        <v/>
      </c>
    </row>
    <row r="41" ht="20" customHeight="1">
      <c r="A41" s="27" t="inlineStr">
        <is>
          <t>4 · Contagem de dias</t>
        </is>
      </c>
    </row>
    <row r="42">
      <c r="A42" s="34" t="inlineStr">
        <is>
          <t>Terças e quintas-feiras brutas</t>
        </is>
      </c>
      <c r="B42" s="30" t="n">
        <v>70</v>
      </c>
    </row>
    <row r="43">
      <c r="A43" s="34" t="inlineStr">
        <is>
          <t>Menos: feriados em dia de aula</t>
        </is>
      </c>
      <c r="B43" s="30" t="n">
        <v>-4</v>
      </c>
    </row>
    <row r="44">
      <c r="A44" s="34" t="inlineStr">
        <is>
          <t>Menos: interrupção lectiva</t>
        </is>
      </c>
      <c r="B44" s="30" t="n">
        <v>-4</v>
      </c>
    </row>
    <row r="45">
      <c r="A45" s="29" t="inlineStr">
        <is>
          <t>Dias lectivos úteis</t>
        </is>
      </c>
      <c r="B45" s="40" t="n">
        <v>62</v>
      </c>
    </row>
    <row r="46">
      <c r="A46" s="34" t="inlineStr">
        <is>
          <t>Menos: dias de seminário</t>
        </is>
      </c>
      <c r="B46" s="30" t="n">
        <v>-8</v>
      </c>
    </row>
    <row r="47">
      <c r="A47" s="29" t="inlineStr">
        <is>
          <t>Dias de disciplinas</t>
        </is>
      </c>
      <c r="B47" s="40" t="n">
        <v>54</v>
      </c>
    </row>
    <row r="48">
      <c r="A48" s="29" t="inlineStr">
        <is>
          <t>Blocos registados no cronograma</t>
        </is>
      </c>
      <c r="B48" s="40">
        <f>COUNTA(Cronograma!A3:A250)</f>
        <v/>
      </c>
      <c r="C48" s="34" t="inlineStr">
        <is>
          <t>esperado: 248</t>
        </is>
      </c>
    </row>
    <row r="49">
      <c r="A49" s="29" t="inlineStr">
        <is>
          <t>Verificação de blocos</t>
        </is>
      </c>
      <c r="B49" s="38">
        <f>IF(B48=248,"CONFERE","DIVERGE")</f>
        <v/>
      </c>
    </row>
  </sheetData>
  <mergeCells count="5">
    <mergeCell ref="A30:E30"/>
    <mergeCell ref="A1:J1"/>
    <mergeCell ref="A3:G3"/>
    <mergeCell ref="A16:G16"/>
    <mergeCell ref="A41:D4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5" customWidth="1" min="3" max="3"/>
    <col width="6" customWidth="1" min="4" max="4"/>
    <col width="22" customWidth="1" min="5" max="5"/>
    <col width="58" customWidth="1" min="6" max="6"/>
    <col width="12" customWidth="1" min="7" max="7"/>
    <col width="30" customWidth="1" min="8" max="8"/>
  </cols>
  <sheetData>
    <row r="1" ht="30" customHeight="1">
      <c r="A1" s="2" t="inlineStr">
        <is>
          <t>N.º</t>
        </is>
      </c>
      <c r="B1" s="2" t="inlineStr">
        <is>
          <t>Data</t>
        </is>
      </c>
      <c r="C1" s="2" t="inlineStr">
        <is>
          <t>Dia</t>
        </is>
      </c>
      <c r="D1" s="2" t="inlineStr">
        <is>
          <t>Mês</t>
        </is>
      </c>
      <c r="E1" s="2" t="inlineStr">
        <is>
          <t>Área</t>
        </is>
      </c>
      <c r="F1" s="2" t="inlineStr">
        <is>
          <t>Tema</t>
        </is>
      </c>
      <c r="G1" s="2" t="inlineStr">
        <is>
          <t>Duração (h)</t>
        </is>
      </c>
      <c r="H1" s="2" t="inlineStr">
        <is>
          <t>Formador</t>
        </is>
      </c>
    </row>
    <row r="2">
      <c r="A2" s="41" t="n">
        <v>1</v>
      </c>
      <c r="B2" s="42" t="inlineStr">
        <is>
          <t>29/09/2026</t>
        </is>
      </c>
      <c r="C2" s="42" t="inlineStr">
        <is>
          <t>Terça-feira</t>
        </is>
      </c>
      <c r="D2" s="41" t="n">
        <v>1</v>
      </c>
      <c r="E2" s="42" t="inlineStr">
        <is>
          <t>Língua Portuguesa I</t>
        </is>
      </c>
      <c r="F2" s="43" t="inlineStr">
        <is>
          <t>Comunicação oral e escrita em contexto de saúde</t>
        </is>
      </c>
      <c r="G2" s="41" t="n">
        <v>4</v>
      </c>
      <c r="H2" s="42" t="inlineStr">
        <is>
          <t>Formador(a) convidado(a) [a designar]</t>
        </is>
      </c>
    </row>
    <row r="3">
      <c r="A3" s="44" t="n">
        <v>2</v>
      </c>
      <c r="B3" s="45" t="inlineStr">
        <is>
          <t>29/10/2026</t>
        </is>
      </c>
      <c r="C3" s="45" t="inlineStr">
        <is>
          <t>Quinta-feira</t>
        </is>
      </c>
      <c r="D3" s="44" t="n">
        <v>2</v>
      </c>
      <c r="E3" s="45" t="inlineStr">
        <is>
          <t>Psicologia I</t>
        </is>
      </c>
      <c r="F3" s="46" t="inlineStr">
        <is>
          <t>Relação de ajuda; comunicação com o doente e a família</t>
        </is>
      </c>
      <c r="G3" s="44" t="n">
        <v>4</v>
      </c>
      <c r="H3" s="45" t="inlineStr">
        <is>
          <t>Formador(a) convidado(a) [a designar]</t>
        </is>
      </c>
    </row>
    <row r="4">
      <c r="A4" s="41" t="n">
        <v>3</v>
      </c>
      <c r="B4" s="42" t="inlineStr">
        <is>
          <t>01/12/2026</t>
        </is>
      </c>
      <c r="C4" s="42" t="inlineStr">
        <is>
          <t>Terça-feira</t>
        </is>
      </c>
      <c r="D4" s="41" t="n">
        <v>3</v>
      </c>
      <c r="E4" s="42" t="inlineStr">
        <is>
          <t>Saúde Colectiva I</t>
        </is>
      </c>
      <c r="F4" s="43" t="inlineStr">
        <is>
          <t>Determinantes da saúde; epidemiologia básica; promoção da saúde</t>
        </is>
      </c>
      <c r="G4" s="41" t="n">
        <v>4</v>
      </c>
      <c r="H4" s="42" t="inlineStr">
        <is>
          <t>Formador(a) convidado(a) [a designar]</t>
        </is>
      </c>
    </row>
    <row r="5">
      <c r="A5" s="44" t="n">
        <v>4</v>
      </c>
      <c r="B5" s="45" t="inlineStr">
        <is>
          <t>07/01/2027</t>
        </is>
      </c>
      <c r="C5" s="45" t="inlineStr">
        <is>
          <t>Quinta-feira</t>
        </is>
      </c>
      <c r="D5" s="44" t="n">
        <v>4</v>
      </c>
      <c r="E5" s="45" t="inlineStr">
        <is>
          <t>Saúde Mental I</t>
        </is>
      </c>
      <c r="F5" s="46" t="inlineStr">
        <is>
          <t>Conceitos, estigma, sinais de alerta e primeiros socorros psicológicos</t>
        </is>
      </c>
      <c r="G5" s="44" t="n">
        <v>4</v>
      </c>
      <c r="H5" s="45" t="inlineStr">
        <is>
          <t>Formador(a) convidado(a) [a designar]</t>
        </is>
      </c>
    </row>
    <row r="6">
      <c r="A6" s="41" t="n">
        <v>5</v>
      </c>
      <c r="B6" s="42" t="inlineStr">
        <is>
          <t>26/01/2027</t>
        </is>
      </c>
      <c r="C6" s="42" t="inlineStr">
        <is>
          <t>Terça-feira</t>
        </is>
      </c>
      <c r="D6" s="41" t="n">
        <v>5</v>
      </c>
      <c r="E6" s="42" t="inlineStr">
        <is>
          <t>Língua Portuguesa II</t>
        </is>
      </c>
      <c r="F6" s="43" t="inlineStr">
        <is>
          <t>Registos de enfermagem, relatório e passagem de turno escrita</t>
        </is>
      </c>
      <c r="G6" s="41" t="n">
        <v>4</v>
      </c>
      <c r="H6" s="42" t="inlineStr">
        <is>
          <t>Formador(a) convidado(a) [a designar]</t>
        </is>
      </c>
    </row>
    <row r="7">
      <c r="A7" s="44" t="n">
        <v>6</v>
      </c>
      <c r="B7" s="45" t="inlineStr">
        <is>
          <t>04/03/2027</t>
        </is>
      </c>
      <c r="C7" s="45" t="inlineStr">
        <is>
          <t>Quinta-feira</t>
        </is>
      </c>
      <c r="D7" s="44" t="n">
        <v>6</v>
      </c>
      <c r="E7" s="45" t="inlineStr">
        <is>
          <t>Psicologia II</t>
        </is>
      </c>
      <c r="F7" s="46" t="inlineStr">
        <is>
          <t>Stress e burnout do profissional; luto; comunicação de más notícias</t>
        </is>
      </c>
      <c r="G7" s="44" t="n">
        <v>4</v>
      </c>
      <c r="H7" s="45" t="inlineStr">
        <is>
          <t>Formador(a) convidado(a) [a designar]</t>
        </is>
      </c>
    </row>
    <row r="8">
      <c r="A8" s="41" t="n">
        <v>7</v>
      </c>
      <c r="B8" s="42" t="inlineStr">
        <is>
          <t>06/04/2027</t>
        </is>
      </c>
      <c r="C8" s="42" t="inlineStr">
        <is>
          <t>Terça-feira</t>
        </is>
      </c>
      <c r="D8" s="41" t="n">
        <v>7</v>
      </c>
      <c r="E8" s="42" t="inlineStr">
        <is>
          <t>Saúde Colectiva II</t>
        </is>
      </c>
      <c r="F8" s="43" t="inlineStr">
        <is>
          <t>Vigilância epidemiológica; doenças de notificação; água e saneamento</t>
        </is>
      </c>
      <c r="G8" s="41" t="n">
        <v>4</v>
      </c>
      <c r="H8" s="42" t="inlineStr">
        <is>
          <t>Formador(a) convidado(a) [a designar]</t>
        </is>
      </c>
    </row>
    <row r="9">
      <c r="A9" s="44" t="n">
        <v>8</v>
      </c>
      <c r="B9" s="45" t="inlineStr">
        <is>
          <t>22/04/2027</t>
        </is>
      </c>
      <c r="C9" s="45" t="inlineStr">
        <is>
          <t>Quinta-feira</t>
        </is>
      </c>
      <c r="D9" s="44" t="n">
        <v>8</v>
      </c>
      <c r="E9" s="45" t="inlineStr">
        <is>
          <t>Saúde Mental II</t>
        </is>
      </c>
      <c r="F9" s="46" t="inlineStr">
        <is>
          <t>Abordagem inicial da pessoa em crise; álcool e outras substâncias</t>
        </is>
      </c>
      <c r="G9" s="44" t="n">
        <v>4</v>
      </c>
      <c r="H9" s="45" t="inlineStr">
        <is>
          <t>Formador(a) convidado(a) [a designar]</t>
        </is>
      </c>
    </row>
    <row r="10">
      <c r="F10" s="47" t="inlineStr">
        <is>
          <t>Total</t>
        </is>
      </c>
      <c r="G10" s="47">
        <f>SUM(G2:G9)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11" customWidth="1" min="2" max="2"/>
    <col width="10" customWidth="1" min="3" max="3"/>
    <col width="13" customWidth="1" min="4" max="4"/>
    <col width="18" customWidth="1" min="5" max="5"/>
    <col width="11" customWidth="1" min="6" max="6"/>
    <col width="34" customWidth="1" min="7" max="7"/>
    <col width="62" customWidth="1" min="8" max="8"/>
    <col width="16" customWidth="1" min="9" max="9"/>
    <col width="13" customWidth="1" min="10" max="10"/>
  </cols>
  <sheetData>
    <row r="1" ht="24" customHeight="1">
      <c r="A1" s="1" t="inlineStr">
        <is>
          <t>Gestão de Enfermagem e Projecto Tecnológico — 24 sábados, 05/12/2026 a 29/05/2027, 180 h · Prof. Santos Salote</t>
        </is>
      </c>
    </row>
    <row r="2" ht="30" customHeight="1">
      <c r="A2" s="2" t="inlineStr">
        <is>
          <t>N.º</t>
        </is>
      </c>
      <c r="B2" s="2" t="inlineStr">
        <is>
          <t>Data</t>
        </is>
      </c>
      <c r="C2" s="2" t="inlineStr">
        <is>
          <t>Dia</t>
        </is>
      </c>
      <c r="D2" s="2" t="inlineStr">
        <is>
          <t>Horário</t>
        </is>
      </c>
      <c r="E2" s="2" t="inlineStr">
        <is>
          <t>Bloco</t>
        </is>
      </c>
      <c r="F2" s="2" t="inlineStr">
        <is>
          <t>Disciplina</t>
        </is>
      </c>
      <c r="G2" s="2" t="inlineStr">
        <is>
          <t>Unidade temática</t>
        </is>
      </c>
      <c r="H2" s="2" t="inlineStr">
        <is>
          <t>Tema da sessão</t>
        </is>
      </c>
      <c r="I2" s="2" t="inlineStr">
        <is>
          <t>Tipo</t>
        </is>
      </c>
      <c r="J2" s="2" t="inlineStr">
        <is>
          <t>Duração (min)</t>
        </is>
      </c>
    </row>
    <row r="3">
      <c r="A3" s="48" t="n">
        <v>1</v>
      </c>
      <c r="B3" s="49" t="inlineStr">
        <is>
          <t>05/12/2026</t>
        </is>
      </c>
      <c r="C3" s="49" t="inlineStr">
        <is>
          <t>Sábado</t>
        </is>
      </c>
      <c r="D3" s="49" t="inlineStr">
        <is>
          <t>08h00–10h00</t>
        </is>
      </c>
      <c r="E3" s="49" t="inlineStr">
        <is>
          <t>1.º tempo</t>
        </is>
      </c>
      <c r="F3" s="50" t="inlineStr">
        <is>
          <t>GEN</t>
        </is>
      </c>
      <c r="G3" s="51" t="inlineStr">
        <is>
          <t>UI — Fundamentos da gestão em enfermagem</t>
        </is>
      </c>
      <c r="H3" s="51" t="inlineStr">
        <is>
          <t>Apresentação da disciplina; funções de gestão em enfermagem e âmbito do Técnico de Enfermagem</t>
        </is>
      </c>
      <c r="I3" s="48" t="inlineStr">
        <is>
          <t>T</t>
        </is>
      </c>
      <c r="J3" s="48" t="n">
        <v>120</v>
      </c>
    </row>
    <row r="4">
      <c r="A4" s="7" t="n">
        <v>2</v>
      </c>
      <c r="B4" s="8" t="inlineStr">
        <is>
          <t>05/12/2026</t>
        </is>
      </c>
      <c r="C4" s="8" t="inlineStr">
        <is>
          <t>Sábado</t>
        </is>
      </c>
      <c r="D4" s="8" t="inlineStr">
        <is>
          <t>10h00–10h30</t>
        </is>
      </c>
      <c r="E4" s="8" t="inlineStr">
        <is>
          <t>Intervalo</t>
        </is>
      </c>
      <c r="F4" s="9" t="inlineStr">
        <is>
          <t>—</t>
        </is>
      </c>
      <c r="G4" s="10" t="inlineStr">
        <is>
          <t>—</t>
        </is>
      </c>
      <c r="H4" s="10" t="inlineStr">
        <is>
          <t>Intervalo regulamentar</t>
        </is>
      </c>
      <c r="I4" s="7" t="inlineStr">
        <is>
          <t>—</t>
        </is>
      </c>
      <c r="J4" s="7" t="n">
        <v>30</v>
      </c>
    </row>
    <row r="5">
      <c r="A5" s="48" t="n">
        <v>3</v>
      </c>
      <c r="B5" s="49" t="inlineStr">
        <is>
          <t>05/12/2026</t>
        </is>
      </c>
      <c r="C5" s="49" t="inlineStr">
        <is>
          <t>Sábado</t>
        </is>
      </c>
      <c r="D5" s="49" t="inlineStr">
        <is>
          <t>10h30–12h30</t>
        </is>
      </c>
      <c r="E5" s="49" t="inlineStr">
        <is>
          <t>2.º tempo</t>
        </is>
      </c>
      <c r="F5" s="50" t="inlineStr">
        <is>
          <t>GEN</t>
        </is>
      </c>
      <c r="G5" s="51" t="inlineStr">
        <is>
          <t>UI — Fundamentos da gestão em enfermagem</t>
        </is>
      </c>
      <c r="H5" s="51" t="inlineStr">
        <is>
          <t>Apresentação da disciplina; funções de gestão em enfermagem e âmbito do Técnico de Enfermagem</t>
        </is>
      </c>
      <c r="I5" s="48" t="inlineStr">
        <is>
          <t>T</t>
        </is>
      </c>
      <c r="J5" s="48" t="n">
        <v>120</v>
      </c>
    </row>
    <row r="6">
      <c r="A6" s="52" t="n">
        <v>4</v>
      </c>
      <c r="B6" s="53" t="inlineStr">
        <is>
          <t>05/12/2026</t>
        </is>
      </c>
      <c r="C6" s="53" t="inlineStr">
        <is>
          <t>Sábado</t>
        </is>
      </c>
      <c r="D6" s="53" t="inlineStr">
        <is>
          <t>12h30–16h00</t>
        </is>
      </c>
      <c r="E6" s="53" t="inlineStr">
        <is>
          <t>Bloco de projecto</t>
        </is>
      </c>
      <c r="F6" s="54" t="inlineStr">
        <is>
          <t>PT</t>
        </is>
      </c>
      <c r="G6" s="55" t="inlineStr">
        <is>
          <t>UI — Enquadramento do trabalho de fim de curso</t>
        </is>
      </c>
      <c r="H6" s="55" t="inlineStr">
        <is>
          <t>O trabalho de fim de curso: natureza, tipos, critérios de avaliação e calendário</t>
        </is>
      </c>
      <c r="I6" s="52" t="inlineStr">
        <is>
          <t>T</t>
        </is>
      </c>
      <c r="J6" s="52" t="n">
        <v>210</v>
      </c>
    </row>
    <row r="7">
      <c r="A7" s="48" t="n">
        <v>5</v>
      </c>
      <c r="B7" s="49" t="inlineStr">
        <is>
          <t>12/12/2026</t>
        </is>
      </c>
      <c r="C7" s="49" t="inlineStr">
        <is>
          <t>Sábado</t>
        </is>
      </c>
      <c r="D7" s="49" t="inlineStr">
        <is>
          <t>08h00–10h00</t>
        </is>
      </c>
      <c r="E7" s="49" t="inlineStr">
        <is>
          <t>1.º tempo</t>
        </is>
      </c>
      <c r="F7" s="50" t="inlineStr">
        <is>
          <t>GEN</t>
        </is>
      </c>
      <c r="G7" s="51" t="inlineStr">
        <is>
          <t>UI — Fundamentos da gestão em enfermagem</t>
        </is>
      </c>
      <c r="H7" s="51" t="inlineStr">
        <is>
          <t>Organização do serviço de enfermagem: estrutura, cadeia hierárquica e circuitos internos</t>
        </is>
      </c>
      <c r="I7" s="48" t="inlineStr">
        <is>
          <t>T</t>
        </is>
      </c>
      <c r="J7" s="48" t="n">
        <v>120</v>
      </c>
    </row>
    <row r="8">
      <c r="A8" s="7" t="n">
        <v>6</v>
      </c>
      <c r="B8" s="8" t="inlineStr">
        <is>
          <t>12/12/2026</t>
        </is>
      </c>
      <c r="C8" s="8" t="inlineStr">
        <is>
          <t>Sábado</t>
        </is>
      </c>
      <c r="D8" s="8" t="inlineStr">
        <is>
          <t>10h00–10h30</t>
        </is>
      </c>
      <c r="E8" s="8" t="inlineStr">
        <is>
          <t>Intervalo</t>
        </is>
      </c>
      <c r="F8" s="9" t="inlineStr">
        <is>
          <t>—</t>
        </is>
      </c>
      <c r="G8" s="10" t="inlineStr">
        <is>
          <t>—</t>
        </is>
      </c>
      <c r="H8" s="10" t="inlineStr">
        <is>
          <t>Intervalo regulamentar</t>
        </is>
      </c>
      <c r="I8" s="7" t="inlineStr">
        <is>
          <t>—</t>
        </is>
      </c>
      <c r="J8" s="7" t="n">
        <v>30</v>
      </c>
    </row>
    <row r="9">
      <c r="A9" s="48" t="n">
        <v>7</v>
      </c>
      <c r="B9" s="49" t="inlineStr">
        <is>
          <t>12/12/2026</t>
        </is>
      </c>
      <c r="C9" s="49" t="inlineStr">
        <is>
          <t>Sábado</t>
        </is>
      </c>
      <c r="D9" s="49" t="inlineStr">
        <is>
          <t>10h30–12h30</t>
        </is>
      </c>
      <c r="E9" s="49" t="inlineStr">
        <is>
          <t>2.º tempo</t>
        </is>
      </c>
      <c r="F9" s="50" t="inlineStr">
        <is>
          <t>GEN</t>
        </is>
      </c>
      <c r="G9" s="51" t="inlineStr">
        <is>
          <t>UI — Fundamentos da gestão em enfermagem</t>
        </is>
      </c>
      <c r="H9" s="51" t="inlineStr">
        <is>
          <t>Organização do serviço de enfermagem: estrutura, cadeia hierárquica e circuitos internos</t>
        </is>
      </c>
      <c r="I9" s="48" t="inlineStr">
        <is>
          <t>T</t>
        </is>
      </c>
      <c r="J9" s="48" t="n">
        <v>120</v>
      </c>
    </row>
    <row r="10">
      <c r="A10" s="52" t="n">
        <v>8</v>
      </c>
      <c r="B10" s="53" t="inlineStr">
        <is>
          <t>12/12/2026</t>
        </is>
      </c>
      <c r="C10" s="53" t="inlineStr">
        <is>
          <t>Sábado</t>
        </is>
      </c>
      <c r="D10" s="53" t="inlineStr">
        <is>
          <t>12h30–16h00</t>
        </is>
      </c>
      <c r="E10" s="53" t="inlineStr">
        <is>
          <t>Bloco de projecto</t>
        </is>
      </c>
      <c r="F10" s="54" t="inlineStr">
        <is>
          <t>PT</t>
        </is>
      </c>
      <c r="G10" s="55" t="inlineStr">
        <is>
          <t>UI — Enquadramento do trabalho de fim de curso</t>
        </is>
      </c>
      <c r="H10" s="55" t="inlineStr">
        <is>
          <t>Constituição dos grupos, atribuição do tutor e regras de funcionamento</t>
        </is>
      </c>
      <c r="I10" s="52" t="inlineStr">
        <is>
          <t>TP</t>
        </is>
      </c>
      <c r="J10" s="52" t="n">
        <v>210</v>
      </c>
    </row>
    <row r="11">
      <c r="A11" s="48" t="n">
        <v>9</v>
      </c>
      <c r="B11" s="49" t="inlineStr">
        <is>
          <t>19/12/2026</t>
        </is>
      </c>
      <c r="C11" s="49" t="inlineStr">
        <is>
          <t>Sábado</t>
        </is>
      </c>
      <c r="D11" s="49" t="inlineStr">
        <is>
          <t>08h00–10h00</t>
        </is>
      </c>
      <c r="E11" s="49" t="inlineStr">
        <is>
          <t>1.º tempo</t>
        </is>
      </c>
      <c r="F11" s="50" t="inlineStr">
        <is>
          <t>GEN</t>
        </is>
      </c>
      <c r="G11" s="51" t="inlineStr">
        <is>
          <t>UI — Fundamentos da gestão em enfermagem</t>
        </is>
      </c>
      <c r="H11" s="51" t="inlineStr">
        <is>
          <t>Liderança e estilos de chefia; o papel do chefe de equipa de turno</t>
        </is>
      </c>
      <c r="I11" s="48" t="inlineStr">
        <is>
          <t>TP</t>
        </is>
      </c>
      <c r="J11" s="48" t="n">
        <v>120</v>
      </c>
    </row>
    <row r="12">
      <c r="A12" s="7" t="n">
        <v>10</v>
      </c>
      <c r="B12" s="8" t="inlineStr">
        <is>
          <t>19/12/2026</t>
        </is>
      </c>
      <c r="C12" s="8" t="inlineStr">
        <is>
          <t>Sábado</t>
        </is>
      </c>
      <c r="D12" s="8" t="inlineStr">
        <is>
          <t>10h00–10h30</t>
        </is>
      </c>
      <c r="E12" s="8" t="inlineStr">
        <is>
          <t>Intervalo</t>
        </is>
      </c>
      <c r="F12" s="9" t="inlineStr">
        <is>
          <t>—</t>
        </is>
      </c>
      <c r="G12" s="10" t="inlineStr">
        <is>
          <t>—</t>
        </is>
      </c>
      <c r="H12" s="10" t="inlineStr">
        <is>
          <t>Intervalo regulamentar</t>
        </is>
      </c>
      <c r="I12" s="7" t="inlineStr">
        <is>
          <t>—</t>
        </is>
      </c>
      <c r="J12" s="7" t="n">
        <v>30</v>
      </c>
    </row>
    <row r="13">
      <c r="A13" s="48" t="n">
        <v>11</v>
      </c>
      <c r="B13" s="49" t="inlineStr">
        <is>
          <t>19/12/2026</t>
        </is>
      </c>
      <c r="C13" s="49" t="inlineStr">
        <is>
          <t>Sábado</t>
        </is>
      </c>
      <c r="D13" s="49" t="inlineStr">
        <is>
          <t>10h30–12h30</t>
        </is>
      </c>
      <c r="E13" s="49" t="inlineStr">
        <is>
          <t>2.º tempo</t>
        </is>
      </c>
      <c r="F13" s="50" t="inlineStr">
        <is>
          <t>GEN</t>
        </is>
      </c>
      <c r="G13" s="51" t="inlineStr">
        <is>
          <t>UI — Fundamentos da gestão em enfermagem</t>
        </is>
      </c>
      <c r="H13" s="51" t="inlineStr">
        <is>
          <t>Liderança e estilos de chefia; o papel do chefe de equipa de turno</t>
        </is>
      </c>
      <c r="I13" s="48" t="inlineStr">
        <is>
          <t>TP</t>
        </is>
      </c>
      <c r="J13" s="48" t="n">
        <v>120</v>
      </c>
    </row>
    <row r="14">
      <c r="A14" s="52" t="n">
        <v>12</v>
      </c>
      <c r="B14" s="53" t="inlineStr">
        <is>
          <t>19/12/2026</t>
        </is>
      </c>
      <c r="C14" s="53" t="inlineStr">
        <is>
          <t>Sábado</t>
        </is>
      </c>
      <c r="D14" s="53" t="inlineStr">
        <is>
          <t>12h30–16h00</t>
        </is>
      </c>
      <c r="E14" s="53" t="inlineStr">
        <is>
          <t>Bloco de projecto</t>
        </is>
      </c>
      <c r="F14" s="54" t="inlineStr">
        <is>
          <t>PT</t>
        </is>
      </c>
      <c r="G14" s="55" t="inlineStr">
        <is>
          <t>UI — Enquadramento do trabalho de fim de curso</t>
        </is>
      </c>
      <c r="H14" s="55" t="inlineStr">
        <is>
          <t>Escolha do tema: critérios de relevância, exequibilidade e pertinência clínica</t>
        </is>
      </c>
      <c r="I14" s="52" t="inlineStr">
        <is>
          <t>TP</t>
        </is>
      </c>
      <c r="J14" s="52" t="n">
        <v>210</v>
      </c>
    </row>
    <row r="15">
      <c r="A15" s="48" t="n">
        <v>13</v>
      </c>
      <c r="B15" s="49" t="inlineStr">
        <is>
          <t>09/01/2027</t>
        </is>
      </c>
      <c r="C15" s="49" t="inlineStr">
        <is>
          <t>Sábado</t>
        </is>
      </c>
      <c r="D15" s="49" t="inlineStr">
        <is>
          <t>08h00–10h00</t>
        </is>
      </c>
      <c r="E15" s="49" t="inlineStr">
        <is>
          <t>1.º tempo</t>
        </is>
      </c>
      <c r="F15" s="50" t="inlineStr">
        <is>
          <t>GEN</t>
        </is>
      </c>
      <c r="G15" s="51" t="inlineStr">
        <is>
          <t>UII — Gestão de recursos humanos</t>
        </is>
      </c>
      <c r="H15" s="51" t="inlineStr">
        <is>
          <t>Planeamento do trabalho de enfermagem: métodos de distribuição de doentes pela equipa</t>
        </is>
      </c>
      <c r="I15" s="48" t="inlineStr">
        <is>
          <t>TP</t>
        </is>
      </c>
      <c r="J15" s="48" t="n">
        <v>120</v>
      </c>
    </row>
    <row r="16">
      <c r="A16" s="7" t="n">
        <v>14</v>
      </c>
      <c r="B16" s="8" t="inlineStr">
        <is>
          <t>09/01/2027</t>
        </is>
      </c>
      <c r="C16" s="8" t="inlineStr">
        <is>
          <t>Sábado</t>
        </is>
      </c>
      <c r="D16" s="8" t="inlineStr">
        <is>
          <t>10h00–10h30</t>
        </is>
      </c>
      <c r="E16" s="8" t="inlineStr">
        <is>
          <t>Intervalo</t>
        </is>
      </c>
      <c r="F16" s="9" t="inlineStr">
        <is>
          <t>—</t>
        </is>
      </c>
      <c r="G16" s="10" t="inlineStr">
        <is>
          <t>—</t>
        </is>
      </c>
      <c r="H16" s="10" t="inlineStr">
        <is>
          <t>Intervalo regulamentar</t>
        </is>
      </c>
      <c r="I16" s="7" t="inlineStr">
        <is>
          <t>—</t>
        </is>
      </c>
      <c r="J16" s="7" t="n">
        <v>30</v>
      </c>
    </row>
    <row r="17">
      <c r="A17" s="48" t="n">
        <v>15</v>
      </c>
      <c r="B17" s="49" t="inlineStr">
        <is>
          <t>09/01/2027</t>
        </is>
      </c>
      <c r="C17" s="49" t="inlineStr">
        <is>
          <t>Sábado</t>
        </is>
      </c>
      <c r="D17" s="49" t="inlineStr">
        <is>
          <t>10h30–12h30</t>
        </is>
      </c>
      <c r="E17" s="49" t="inlineStr">
        <is>
          <t>2.º tempo</t>
        </is>
      </c>
      <c r="F17" s="50" t="inlineStr">
        <is>
          <t>GEN</t>
        </is>
      </c>
      <c r="G17" s="51" t="inlineStr">
        <is>
          <t>UII — Gestão de recursos humanos</t>
        </is>
      </c>
      <c r="H17" s="51" t="inlineStr">
        <is>
          <t>Planeamento do trabalho de enfermagem: métodos de distribuição de doentes pela equipa</t>
        </is>
      </c>
      <c r="I17" s="48" t="inlineStr">
        <is>
          <t>TP</t>
        </is>
      </c>
      <c r="J17" s="48" t="n">
        <v>120</v>
      </c>
    </row>
    <row r="18">
      <c r="A18" s="52" t="n">
        <v>16</v>
      </c>
      <c r="B18" s="53" t="inlineStr">
        <is>
          <t>09/01/2027</t>
        </is>
      </c>
      <c r="C18" s="53" t="inlineStr">
        <is>
          <t>Sábado</t>
        </is>
      </c>
      <c r="D18" s="53" t="inlineStr">
        <is>
          <t>12h30–16h00</t>
        </is>
      </c>
      <c r="E18" s="53" t="inlineStr">
        <is>
          <t>Bloco de projecto</t>
        </is>
      </c>
      <c r="F18" s="54" t="inlineStr">
        <is>
          <t>PT</t>
        </is>
      </c>
      <c r="G18" s="55" t="inlineStr">
        <is>
          <t>UII — Problema, objectivos e projecto</t>
        </is>
      </c>
      <c r="H18" s="55" t="inlineStr">
        <is>
          <t>Formulação do problema, da pergunta de partida e dos objectivos</t>
        </is>
      </c>
      <c r="I18" s="52" t="inlineStr">
        <is>
          <t>TP</t>
        </is>
      </c>
      <c r="J18" s="52" t="n">
        <v>210</v>
      </c>
    </row>
    <row r="19">
      <c r="A19" s="48" t="n">
        <v>17</v>
      </c>
      <c r="B19" s="49" t="inlineStr">
        <is>
          <t>16/01/2027</t>
        </is>
      </c>
      <c r="C19" s="49" t="inlineStr">
        <is>
          <t>Sábado</t>
        </is>
      </c>
      <c r="D19" s="49" t="inlineStr">
        <is>
          <t>08h00–10h00</t>
        </is>
      </c>
      <c r="E19" s="49" t="inlineStr">
        <is>
          <t>1.º tempo</t>
        </is>
      </c>
      <c r="F19" s="50" t="inlineStr">
        <is>
          <t>GEN</t>
        </is>
      </c>
      <c r="G19" s="51" t="inlineStr">
        <is>
          <t>UII — Gestão de recursos humanos</t>
        </is>
      </c>
      <c r="H19" s="51" t="inlineStr">
        <is>
          <t>Escalas de serviço: elaboração, rotatividade e cobertura de turnos</t>
        </is>
      </c>
      <c r="I19" s="48" t="inlineStr">
        <is>
          <t>P</t>
        </is>
      </c>
      <c r="J19" s="48" t="n">
        <v>120</v>
      </c>
    </row>
    <row r="20">
      <c r="A20" s="7" t="n">
        <v>18</v>
      </c>
      <c r="B20" s="8" t="inlineStr">
        <is>
          <t>16/01/2027</t>
        </is>
      </c>
      <c r="C20" s="8" t="inlineStr">
        <is>
          <t>Sábado</t>
        </is>
      </c>
      <c r="D20" s="8" t="inlineStr">
        <is>
          <t>10h00–10h30</t>
        </is>
      </c>
      <c r="E20" s="8" t="inlineStr">
        <is>
          <t>Intervalo</t>
        </is>
      </c>
      <c r="F20" s="9" t="inlineStr">
        <is>
          <t>—</t>
        </is>
      </c>
      <c r="G20" s="10" t="inlineStr">
        <is>
          <t>—</t>
        </is>
      </c>
      <c r="H20" s="10" t="inlineStr">
        <is>
          <t>Intervalo regulamentar</t>
        </is>
      </c>
      <c r="I20" s="7" t="inlineStr">
        <is>
          <t>—</t>
        </is>
      </c>
      <c r="J20" s="7" t="n">
        <v>30</v>
      </c>
    </row>
    <row r="21">
      <c r="A21" s="48" t="n">
        <v>19</v>
      </c>
      <c r="B21" s="49" t="inlineStr">
        <is>
          <t>16/01/2027</t>
        </is>
      </c>
      <c r="C21" s="49" t="inlineStr">
        <is>
          <t>Sábado</t>
        </is>
      </c>
      <c r="D21" s="49" t="inlineStr">
        <is>
          <t>10h30–12h30</t>
        </is>
      </c>
      <c r="E21" s="49" t="inlineStr">
        <is>
          <t>2.º tempo</t>
        </is>
      </c>
      <c r="F21" s="50" t="inlineStr">
        <is>
          <t>GEN</t>
        </is>
      </c>
      <c r="G21" s="51" t="inlineStr">
        <is>
          <t>UII — Gestão de recursos humanos</t>
        </is>
      </c>
      <c r="H21" s="51" t="inlineStr">
        <is>
          <t>Escalas de serviço: elaboração, rotatividade e cobertura de turnos</t>
        </is>
      </c>
      <c r="I21" s="48" t="inlineStr">
        <is>
          <t>P</t>
        </is>
      </c>
      <c r="J21" s="48" t="n">
        <v>120</v>
      </c>
    </row>
    <row r="22">
      <c r="A22" s="52" t="n">
        <v>20</v>
      </c>
      <c r="B22" s="53" t="inlineStr">
        <is>
          <t>16/01/2027</t>
        </is>
      </c>
      <c r="C22" s="53" t="inlineStr">
        <is>
          <t>Sábado</t>
        </is>
      </c>
      <c r="D22" s="53" t="inlineStr">
        <is>
          <t>12h30–16h00</t>
        </is>
      </c>
      <c r="E22" s="53" t="inlineStr">
        <is>
          <t>Bloco de projecto</t>
        </is>
      </c>
      <c r="F22" s="54" t="inlineStr">
        <is>
          <t>PT</t>
        </is>
      </c>
      <c r="G22" s="55" t="inlineStr">
        <is>
          <t>UII — Problema, objectivos e projecto</t>
        </is>
      </c>
      <c r="H22" s="55" t="inlineStr">
        <is>
          <t>Pesquisa bibliográfica: fontes, selecção e leitura crítica</t>
        </is>
      </c>
      <c r="I22" s="52" t="inlineStr">
        <is>
          <t>P</t>
        </is>
      </c>
      <c r="J22" s="52" t="n">
        <v>210</v>
      </c>
    </row>
    <row r="23">
      <c r="A23" s="48" t="n">
        <v>21</v>
      </c>
      <c r="B23" s="49" t="inlineStr">
        <is>
          <t>23/01/2027</t>
        </is>
      </c>
      <c r="C23" s="49" t="inlineStr">
        <is>
          <t>Sábado</t>
        </is>
      </c>
      <c r="D23" s="49" t="inlineStr">
        <is>
          <t>08h00–10h00</t>
        </is>
      </c>
      <c r="E23" s="49" t="inlineStr">
        <is>
          <t>1.º tempo</t>
        </is>
      </c>
      <c r="F23" s="50" t="inlineStr">
        <is>
          <t>GEN</t>
        </is>
      </c>
      <c r="G23" s="51" t="inlineStr">
        <is>
          <t>UII — Gestão de recursos humanos</t>
        </is>
      </c>
      <c r="H23" s="51" t="inlineStr">
        <is>
          <t>Gestão de faltas, substituições e horas extraordinárias</t>
        </is>
      </c>
      <c r="I23" s="48" t="inlineStr">
        <is>
          <t>TP</t>
        </is>
      </c>
      <c r="J23" s="48" t="n">
        <v>120</v>
      </c>
    </row>
    <row r="24">
      <c r="A24" s="7" t="n">
        <v>22</v>
      </c>
      <c r="B24" s="8" t="inlineStr">
        <is>
          <t>23/01/2027</t>
        </is>
      </c>
      <c r="C24" s="8" t="inlineStr">
        <is>
          <t>Sábado</t>
        </is>
      </c>
      <c r="D24" s="8" t="inlineStr">
        <is>
          <t>10h00–10h30</t>
        </is>
      </c>
      <c r="E24" s="8" t="inlineStr">
        <is>
          <t>Intervalo</t>
        </is>
      </c>
      <c r="F24" s="9" t="inlineStr">
        <is>
          <t>—</t>
        </is>
      </c>
      <c r="G24" s="10" t="inlineStr">
        <is>
          <t>—</t>
        </is>
      </c>
      <c r="H24" s="10" t="inlineStr">
        <is>
          <t>Intervalo regulamentar</t>
        </is>
      </c>
      <c r="I24" s="7" t="inlineStr">
        <is>
          <t>—</t>
        </is>
      </c>
      <c r="J24" s="7" t="n">
        <v>30</v>
      </c>
    </row>
    <row r="25">
      <c r="A25" s="48" t="n">
        <v>23</v>
      </c>
      <c r="B25" s="49" t="inlineStr">
        <is>
          <t>23/01/2027</t>
        </is>
      </c>
      <c r="C25" s="49" t="inlineStr">
        <is>
          <t>Sábado</t>
        </is>
      </c>
      <c r="D25" s="49" t="inlineStr">
        <is>
          <t>10h30–12h30</t>
        </is>
      </c>
      <c r="E25" s="49" t="inlineStr">
        <is>
          <t>2.º tempo</t>
        </is>
      </c>
      <c r="F25" s="50" t="inlineStr">
        <is>
          <t>GEN</t>
        </is>
      </c>
      <c r="G25" s="51" t="inlineStr">
        <is>
          <t>UII — Gestão de recursos humanos</t>
        </is>
      </c>
      <c r="H25" s="51" t="inlineStr">
        <is>
          <t>Gestão de faltas, substituições e horas extraordinárias</t>
        </is>
      </c>
      <c r="I25" s="48" t="inlineStr">
        <is>
          <t>TP</t>
        </is>
      </c>
      <c r="J25" s="48" t="n">
        <v>120</v>
      </c>
    </row>
    <row r="26">
      <c r="A26" s="52" t="n">
        <v>24</v>
      </c>
      <c r="B26" s="53" t="inlineStr">
        <is>
          <t>23/01/2027</t>
        </is>
      </c>
      <c r="C26" s="53" t="inlineStr">
        <is>
          <t>Sábado</t>
        </is>
      </c>
      <c r="D26" s="53" t="inlineStr">
        <is>
          <t>12h30–16h00</t>
        </is>
      </c>
      <c r="E26" s="53" t="inlineStr">
        <is>
          <t>Bloco de projecto</t>
        </is>
      </c>
      <c r="F26" s="54" t="inlineStr">
        <is>
          <t>PT</t>
        </is>
      </c>
      <c r="G26" s="55" t="inlineStr">
        <is>
          <t>UII — Problema, objectivos e projecto</t>
        </is>
      </c>
      <c r="H26" s="55" t="inlineStr">
        <is>
          <t>Elaboração do projecto: estrutura do trabalho e cronograma de execução</t>
        </is>
      </c>
      <c r="I26" s="52" t="inlineStr">
        <is>
          <t>P</t>
        </is>
      </c>
      <c r="J26" s="52" t="n">
        <v>210</v>
      </c>
    </row>
    <row r="27">
      <c r="A27" s="48" t="n">
        <v>25</v>
      </c>
      <c r="B27" s="49" t="inlineStr">
        <is>
          <t>30/01/2027</t>
        </is>
      </c>
      <c r="C27" s="49" t="inlineStr">
        <is>
          <t>Sábado</t>
        </is>
      </c>
      <c r="D27" s="49" t="inlineStr">
        <is>
          <t>08h00–10h00</t>
        </is>
      </c>
      <c r="E27" s="49" t="inlineStr">
        <is>
          <t>1.º tempo</t>
        </is>
      </c>
      <c r="F27" s="50" t="inlineStr">
        <is>
          <t>GEN</t>
        </is>
      </c>
      <c r="G27" s="51" t="inlineStr">
        <is>
          <t>UII — Gestão de recursos humanos</t>
        </is>
      </c>
      <c r="H27" s="51" t="inlineStr">
        <is>
          <t>Delegação e supervisão de tarefas: o que se delega e o que nunca se delega</t>
        </is>
      </c>
      <c r="I27" s="48" t="inlineStr">
        <is>
          <t>TP</t>
        </is>
      </c>
      <c r="J27" s="48" t="n">
        <v>120</v>
      </c>
    </row>
    <row r="28">
      <c r="A28" s="7" t="n">
        <v>26</v>
      </c>
      <c r="B28" s="8" t="inlineStr">
        <is>
          <t>30/01/2027</t>
        </is>
      </c>
      <c r="C28" s="8" t="inlineStr">
        <is>
          <t>Sábado</t>
        </is>
      </c>
      <c r="D28" s="8" t="inlineStr">
        <is>
          <t>10h00–10h30</t>
        </is>
      </c>
      <c r="E28" s="8" t="inlineStr">
        <is>
          <t>Intervalo</t>
        </is>
      </c>
      <c r="F28" s="9" t="inlineStr">
        <is>
          <t>—</t>
        </is>
      </c>
      <c r="G28" s="10" t="inlineStr">
        <is>
          <t>—</t>
        </is>
      </c>
      <c r="H28" s="10" t="inlineStr">
        <is>
          <t>Intervalo regulamentar</t>
        </is>
      </c>
      <c r="I28" s="7" t="inlineStr">
        <is>
          <t>—</t>
        </is>
      </c>
      <c r="J28" s="7" t="n">
        <v>30</v>
      </c>
    </row>
    <row r="29">
      <c r="A29" s="48" t="n">
        <v>27</v>
      </c>
      <c r="B29" s="49" t="inlineStr">
        <is>
          <t>30/01/2027</t>
        </is>
      </c>
      <c r="C29" s="49" t="inlineStr">
        <is>
          <t>Sábado</t>
        </is>
      </c>
      <c r="D29" s="49" t="inlineStr">
        <is>
          <t>10h30–12h30</t>
        </is>
      </c>
      <c r="E29" s="49" t="inlineStr">
        <is>
          <t>2.º tempo</t>
        </is>
      </c>
      <c r="F29" s="50" t="inlineStr">
        <is>
          <t>GEN</t>
        </is>
      </c>
      <c r="G29" s="51" t="inlineStr">
        <is>
          <t>UII — Gestão de recursos humanos</t>
        </is>
      </c>
      <c r="H29" s="51" t="inlineStr">
        <is>
          <t>Delegação e supervisão de tarefas: o que se delega e o que nunca se delega</t>
        </is>
      </c>
      <c r="I29" s="48" t="inlineStr">
        <is>
          <t>TP</t>
        </is>
      </c>
      <c r="J29" s="48" t="n">
        <v>120</v>
      </c>
    </row>
    <row r="30">
      <c r="A30" s="52" t="n">
        <v>28</v>
      </c>
      <c r="B30" s="53" t="inlineStr">
        <is>
          <t>30/01/2027</t>
        </is>
      </c>
      <c r="C30" s="53" t="inlineStr">
        <is>
          <t>Sábado</t>
        </is>
      </c>
      <c r="D30" s="53" t="inlineStr">
        <is>
          <t>12h30–16h00</t>
        </is>
      </c>
      <c r="E30" s="53" t="inlineStr">
        <is>
          <t>Bloco de projecto</t>
        </is>
      </c>
      <c r="F30" s="54" t="inlineStr">
        <is>
          <t>PT</t>
        </is>
      </c>
      <c r="G30" s="55" t="inlineStr">
        <is>
          <t>UII — Problema, objectivos e projecto</t>
        </is>
      </c>
      <c r="H30" s="55" t="inlineStr">
        <is>
          <t>1.ª pré-defesa — apresentação do tema, do problema e dos objectivos perante júri</t>
        </is>
      </c>
      <c r="I30" s="52" t="inlineStr">
        <is>
          <t>Avaliação prática</t>
        </is>
      </c>
      <c r="J30" s="52" t="n">
        <v>210</v>
      </c>
    </row>
    <row r="31">
      <c r="A31" s="48" t="n">
        <v>29</v>
      </c>
      <c r="B31" s="49" t="inlineStr">
        <is>
          <t>06/02/2027</t>
        </is>
      </c>
      <c r="C31" s="49" t="inlineStr">
        <is>
          <t>Sábado</t>
        </is>
      </c>
      <c r="D31" s="49" t="inlineStr">
        <is>
          <t>08h00–10h00</t>
        </is>
      </c>
      <c r="E31" s="49" t="inlineStr">
        <is>
          <t>1.º tempo</t>
        </is>
      </c>
      <c r="F31" s="50" t="inlineStr">
        <is>
          <t>GEN</t>
        </is>
      </c>
      <c r="G31" s="51" t="inlineStr">
        <is>
          <t>UII — Gestão de recursos humanos</t>
        </is>
      </c>
      <c r="H31" s="51" t="inlineStr">
        <is>
          <t>Integração e acompanhamento de novos profissionais e de estagiários</t>
        </is>
      </c>
      <c r="I31" s="48" t="inlineStr">
        <is>
          <t>TP</t>
        </is>
      </c>
      <c r="J31" s="48" t="n">
        <v>120</v>
      </c>
    </row>
    <row r="32">
      <c r="A32" s="7" t="n">
        <v>30</v>
      </c>
      <c r="B32" s="8" t="inlineStr">
        <is>
          <t>06/02/2027</t>
        </is>
      </c>
      <c r="C32" s="8" t="inlineStr">
        <is>
          <t>Sábado</t>
        </is>
      </c>
      <c r="D32" s="8" t="inlineStr">
        <is>
          <t>10h00–10h30</t>
        </is>
      </c>
      <c r="E32" s="8" t="inlineStr">
        <is>
          <t>Intervalo</t>
        </is>
      </c>
      <c r="F32" s="9" t="inlineStr">
        <is>
          <t>—</t>
        </is>
      </c>
      <c r="G32" s="10" t="inlineStr">
        <is>
          <t>—</t>
        </is>
      </c>
      <c r="H32" s="10" t="inlineStr">
        <is>
          <t>Intervalo regulamentar</t>
        </is>
      </c>
      <c r="I32" s="7" t="inlineStr">
        <is>
          <t>—</t>
        </is>
      </c>
      <c r="J32" s="7" t="n">
        <v>30</v>
      </c>
    </row>
    <row r="33">
      <c r="A33" s="48" t="n">
        <v>31</v>
      </c>
      <c r="B33" s="49" t="inlineStr">
        <is>
          <t>06/02/2027</t>
        </is>
      </c>
      <c r="C33" s="49" t="inlineStr">
        <is>
          <t>Sábado</t>
        </is>
      </c>
      <c r="D33" s="49" t="inlineStr">
        <is>
          <t>10h30–12h30</t>
        </is>
      </c>
      <c r="E33" s="49" t="inlineStr">
        <is>
          <t>2.º tempo</t>
        </is>
      </c>
      <c r="F33" s="50" t="inlineStr">
        <is>
          <t>GEN</t>
        </is>
      </c>
      <c r="G33" s="51" t="inlineStr">
        <is>
          <t>UII — Gestão de recursos humanos</t>
        </is>
      </c>
      <c r="H33" s="51" t="inlineStr">
        <is>
          <t>Integração e acompanhamento de novos profissionais e de estagiários</t>
        </is>
      </c>
      <c r="I33" s="48" t="inlineStr">
        <is>
          <t>TP</t>
        </is>
      </c>
      <c r="J33" s="48" t="n">
        <v>120</v>
      </c>
    </row>
    <row r="34">
      <c r="A34" s="52" t="n">
        <v>32</v>
      </c>
      <c r="B34" s="53" t="inlineStr">
        <is>
          <t>06/02/2027</t>
        </is>
      </c>
      <c r="C34" s="53" t="inlineStr">
        <is>
          <t>Sábado</t>
        </is>
      </c>
      <c r="D34" s="53" t="inlineStr">
        <is>
          <t>12h30–16h00</t>
        </is>
      </c>
      <c r="E34" s="53" t="inlineStr">
        <is>
          <t>Bloco de projecto</t>
        </is>
      </c>
      <c r="F34" s="54" t="inlineStr">
        <is>
          <t>PT</t>
        </is>
      </c>
      <c r="G34" s="55" t="inlineStr">
        <is>
          <t>UIII — Metodologia</t>
        </is>
      </c>
      <c r="H34" s="55" t="inlineStr">
        <is>
          <t>Metodologia: tipo de estudo, população e amostra</t>
        </is>
      </c>
      <c r="I34" s="52" t="inlineStr">
        <is>
          <t>T</t>
        </is>
      </c>
      <c r="J34" s="52" t="n">
        <v>210</v>
      </c>
    </row>
    <row r="35">
      <c r="A35" s="48" t="n">
        <v>33</v>
      </c>
      <c r="B35" s="49" t="inlineStr">
        <is>
          <t>13/02/2027</t>
        </is>
      </c>
      <c r="C35" s="49" t="inlineStr">
        <is>
          <t>Sábado</t>
        </is>
      </c>
      <c r="D35" s="49" t="inlineStr">
        <is>
          <t>08h00–10h00</t>
        </is>
      </c>
      <c r="E35" s="49" t="inlineStr">
        <is>
          <t>1.º tempo</t>
        </is>
      </c>
      <c r="F35" s="50" t="inlineStr">
        <is>
          <t>GEN</t>
        </is>
      </c>
      <c r="G35" s="51" t="inlineStr">
        <is>
          <t>UIII — Gestão de recursos materiais</t>
        </is>
      </c>
      <c r="H35" s="51" t="inlineStr">
        <is>
          <t>Gestão de recursos materiais: inventário, requisição e reposição do serviço</t>
        </is>
      </c>
      <c r="I35" s="48" t="inlineStr">
        <is>
          <t>P</t>
        </is>
      </c>
      <c r="J35" s="48" t="n">
        <v>120</v>
      </c>
    </row>
    <row r="36">
      <c r="A36" s="7" t="n">
        <v>34</v>
      </c>
      <c r="B36" s="8" t="inlineStr">
        <is>
          <t>13/02/2027</t>
        </is>
      </c>
      <c r="C36" s="8" t="inlineStr">
        <is>
          <t>Sábado</t>
        </is>
      </c>
      <c r="D36" s="8" t="inlineStr">
        <is>
          <t>10h00–10h30</t>
        </is>
      </c>
      <c r="E36" s="8" t="inlineStr">
        <is>
          <t>Intervalo</t>
        </is>
      </c>
      <c r="F36" s="9" t="inlineStr">
        <is>
          <t>—</t>
        </is>
      </c>
      <c r="G36" s="10" t="inlineStr">
        <is>
          <t>—</t>
        </is>
      </c>
      <c r="H36" s="10" t="inlineStr">
        <is>
          <t>Intervalo regulamentar</t>
        </is>
      </c>
      <c r="I36" s="7" t="inlineStr">
        <is>
          <t>—</t>
        </is>
      </c>
      <c r="J36" s="7" t="n">
        <v>30</v>
      </c>
    </row>
    <row r="37">
      <c r="A37" s="48" t="n">
        <v>35</v>
      </c>
      <c r="B37" s="49" t="inlineStr">
        <is>
          <t>13/02/2027</t>
        </is>
      </c>
      <c r="C37" s="49" t="inlineStr">
        <is>
          <t>Sábado</t>
        </is>
      </c>
      <c r="D37" s="49" t="inlineStr">
        <is>
          <t>10h30–12h30</t>
        </is>
      </c>
      <c r="E37" s="49" t="inlineStr">
        <is>
          <t>2.º tempo</t>
        </is>
      </c>
      <c r="F37" s="50" t="inlineStr">
        <is>
          <t>GEN</t>
        </is>
      </c>
      <c r="G37" s="51" t="inlineStr">
        <is>
          <t>UIII — Gestão de recursos materiais</t>
        </is>
      </c>
      <c r="H37" s="51" t="inlineStr">
        <is>
          <t>Gestão de recursos materiais: inventário, requisição e reposição do serviço</t>
        </is>
      </c>
      <c r="I37" s="48" t="inlineStr">
        <is>
          <t>P</t>
        </is>
      </c>
      <c r="J37" s="48" t="n">
        <v>120</v>
      </c>
    </row>
    <row r="38">
      <c r="A38" s="52" t="n">
        <v>36</v>
      </c>
      <c r="B38" s="53" t="inlineStr">
        <is>
          <t>13/02/2027</t>
        </is>
      </c>
      <c r="C38" s="53" t="inlineStr">
        <is>
          <t>Sábado</t>
        </is>
      </c>
      <c r="D38" s="53" t="inlineStr">
        <is>
          <t>12h30–16h00</t>
        </is>
      </c>
      <c r="E38" s="53" t="inlineStr">
        <is>
          <t>Bloco de projecto</t>
        </is>
      </c>
      <c r="F38" s="54" t="inlineStr">
        <is>
          <t>PT</t>
        </is>
      </c>
      <c r="G38" s="55" t="inlineStr">
        <is>
          <t>UIII — Metodologia</t>
        </is>
      </c>
      <c r="H38" s="55" t="inlineStr">
        <is>
          <t>Instrumentos de recolha de dados: questionário, entrevista e grelha de observação</t>
        </is>
      </c>
      <c r="I38" s="52" t="inlineStr">
        <is>
          <t>P</t>
        </is>
      </c>
      <c r="J38" s="52" t="n">
        <v>210</v>
      </c>
    </row>
    <row r="39">
      <c r="A39" s="48" t="n">
        <v>37</v>
      </c>
      <c r="B39" s="49" t="inlineStr">
        <is>
          <t>20/02/2027</t>
        </is>
      </c>
      <c r="C39" s="49" t="inlineStr">
        <is>
          <t>Sábado</t>
        </is>
      </c>
      <c r="D39" s="49" t="inlineStr">
        <is>
          <t>08h00–10h00</t>
        </is>
      </c>
      <c r="E39" s="49" t="inlineStr">
        <is>
          <t>1.º tempo</t>
        </is>
      </c>
      <c r="F39" s="50" t="inlineStr">
        <is>
          <t>GEN</t>
        </is>
      </c>
      <c r="G39" s="51" t="inlineStr">
        <is>
          <t>UIII — Gestão de recursos materiais</t>
        </is>
      </c>
      <c r="H39" s="51" t="inlineStr">
        <is>
          <t>Farmácia do serviço: armazenamento, controlo de estupefacientes e verificação de validades</t>
        </is>
      </c>
      <c r="I39" s="48" t="inlineStr">
        <is>
          <t>P</t>
        </is>
      </c>
      <c r="J39" s="48" t="n">
        <v>120</v>
      </c>
    </row>
    <row r="40">
      <c r="A40" s="7" t="n">
        <v>38</v>
      </c>
      <c r="B40" s="8" t="inlineStr">
        <is>
          <t>20/02/2027</t>
        </is>
      </c>
      <c r="C40" s="8" t="inlineStr">
        <is>
          <t>Sábado</t>
        </is>
      </c>
      <c r="D40" s="8" t="inlineStr">
        <is>
          <t>10h00–10h30</t>
        </is>
      </c>
      <c r="E40" s="8" t="inlineStr">
        <is>
          <t>Intervalo</t>
        </is>
      </c>
      <c r="F40" s="9" t="inlineStr">
        <is>
          <t>—</t>
        </is>
      </c>
      <c r="G40" s="10" t="inlineStr">
        <is>
          <t>—</t>
        </is>
      </c>
      <c r="H40" s="10" t="inlineStr">
        <is>
          <t>Intervalo regulamentar</t>
        </is>
      </c>
      <c r="I40" s="7" t="inlineStr">
        <is>
          <t>—</t>
        </is>
      </c>
      <c r="J40" s="7" t="n">
        <v>30</v>
      </c>
    </row>
    <row r="41">
      <c r="A41" s="48" t="n">
        <v>39</v>
      </c>
      <c r="B41" s="49" t="inlineStr">
        <is>
          <t>20/02/2027</t>
        </is>
      </c>
      <c r="C41" s="49" t="inlineStr">
        <is>
          <t>Sábado</t>
        </is>
      </c>
      <c r="D41" s="49" t="inlineStr">
        <is>
          <t>10h30–12h30</t>
        </is>
      </c>
      <c r="E41" s="49" t="inlineStr">
        <is>
          <t>2.º tempo</t>
        </is>
      </c>
      <c r="F41" s="50" t="inlineStr">
        <is>
          <t>GEN</t>
        </is>
      </c>
      <c r="G41" s="51" t="inlineStr">
        <is>
          <t>UIII — Gestão de recursos materiais</t>
        </is>
      </c>
      <c r="H41" s="51" t="inlineStr">
        <is>
          <t>Farmácia do serviço: armazenamento, controlo de estupefacientes e verificação de validades</t>
        </is>
      </c>
      <c r="I41" s="48" t="inlineStr">
        <is>
          <t>P</t>
        </is>
      </c>
      <c r="J41" s="48" t="n">
        <v>120</v>
      </c>
    </row>
    <row r="42">
      <c r="A42" s="52" t="n">
        <v>40</v>
      </c>
      <c r="B42" s="53" t="inlineStr">
        <is>
          <t>20/02/2027</t>
        </is>
      </c>
      <c r="C42" s="53" t="inlineStr">
        <is>
          <t>Sábado</t>
        </is>
      </c>
      <c r="D42" s="53" t="inlineStr">
        <is>
          <t>12h30–16h00</t>
        </is>
      </c>
      <c r="E42" s="53" t="inlineStr">
        <is>
          <t>Bloco de projecto</t>
        </is>
      </c>
      <c r="F42" s="54" t="inlineStr">
        <is>
          <t>PT</t>
        </is>
      </c>
      <c r="G42" s="55" t="inlineStr">
        <is>
          <t>UIII — Metodologia</t>
        </is>
      </c>
      <c r="H42" s="55" t="inlineStr">
        <is>
          <t>Ética na investigação: consentimento, anonimato e autorização institucional</t>
        </is>
      </c>
      <c r="I42" s="52" t="inlineStr">
        <is>
          <t>T</t>
        </is>
      </c>
      <c r="J42" s="52" t="n">
        <v>210</v>
      </c>
    </row>
    <row r="43">
      <c r="A43" s="48" t="n">
        <v>41</v>
      </c>
      <c r="B43" s="49" t="inlineStr">
        <is>
          <t>27/02/2027</t>
        </is>
      </c>
      <c r="C43" s="49" t="inlineStr">
        <is>
          <t>Sábado</t>
        </is>
      </c>
      <c r="D43" s="49" t="inlineStr">
        <is>
          <t>08h00–10h00</t>
        </is>
      </c>
      <c r="E43" s="49" t="inlineStr">
        <is>
          <t>1.º tempo</t>
        </is>
      </c>
      <c r="F43" s="50" t="inlineStr">
        <is>
          <t>GEN</t>
        </is>
      </c>
      <c r="G43" s="51" t="inlineStr">
        <is>
          <t>UIII — Gestão de recursos materiais</t>
        </is>
      </c>
      <c r="H43" s="51" t="inlineStr">
        <is>
          <t>Cadeia de frio e gestão de vacinas e de hemoderivados no serviço</t>
        </is>
      </c>
      <c r="I43" s="48" t="inlineStr">
        <is>
          <t>P</t>
        </is>
      </c>
      <c r="J43" s="48" t="n">
        <v>120</v>
      </c>
    </row>
    <row r="44">
      <c r="A44" s="7" t="n">
        <v>42</v>
      </c>
      <c r="B44" s="8" t="inlineStr">
        <is>
          <t>27/02/2027</t>
        </is>
      </c>
      <c r="C44" s="8" t="inlineStr">
        <is>
          <t>Sábado</t>
        </is>
      </c>
      <c r="D44" s="8" t="inlineStr">
        <is>
          <t>10h00–10h30</t>
        </is>
      </c>
      <c r="E44" s="8" t="inlineStr">
        <is>
          <t>Intervalo</t>
        </is>
      </c>
      <c r="F44" s="9" t="inlineStr">
        <is>
          <t>—</t>
        </is>
      </c>
      <c r="G44" s="10" t="inlineStr">
        <is>
          <t>—</t>
        </is>
      </c>
      <c r="H44" s="10" t="inlineStr">
        <is>
          <t>Intervalo regulamentar</t>
        </is>
      </c>
      <c r="I44" s="7" t="inlineStr">
        <is>
          <t>—</t>
        </is>
      </c>
      <c r="J44" s="7" t="n">
        <v>30</v>
      </c>
    </row>
    <row r="45">
      <c r="A45" s="48" t="n">
        <v>43</v>
      </c>
      <c r="B45" s="49" t="inlineStr">
        <is>
          <t>27/02/2027</t>
        </is>
      </c>
      <c r="C45" s="49" t="inlineStr">
        <is>
          <t>Sábado</t>
        </is>
      </c>
      <c r="D45" s="49" t="inlineStr">
        <is>
          <t>10h30–12h30</t>
        </is>
      </c>
      <c r="E45" s="49" t="inlineStr">
        <is>
          <t>2.º tempo</t>
        </is>
      </c>
      <c r="F45" s="50" t="inlineStr">
        <is>
          <t>GEN</t>
        </is>
      </c>
      <c r="G45" s="51" t="inlineStr">
        <is>
          <t>UIII — Gestão de recursos materiais</t>
        </is>
      </c>
      <c r="H45" s="51" t="inlineStr">
        <is>
          <t>Cadeia de frio e gestão de vacinas e de hemoderivados no serviço</t>
        </is>
      </c>
      <c r="I45" s="48" t="inlineStr">
        <is>
          <t>P</t>
        </is>
      </c>
      <c r="J45" s="48" t="n">
        <v>120</v>
      </c>
    </row>
    <row r="46">
      <c r="A46" s="52" t="n">
        <v>44</v>
      </c>
      <c r="B46" s="53" t="inlineStr">
        <is>
          <t>27/02/2027</t>
        </is>
      </c>
      <c r="C46" s="53" t="inlineStr">
        <is>
          <t>Sábado</t>
        </is>
      </c>
      <c r="D46" s="53" t="inlineStr">
        <is>
          <t>12h30–16h00</t>
        </is>
      </c>
      <c r="E46" s="53" t="inlineStr">
        <is>
          <t>Bloco de projecto</t>
        </is>
      </c>
      <c r="F46" s="54" t="inlineStr">
        <is>
          <t>PT</t>
        </is>
      </c>
      <c r="G46" s="55" t="inlineStr">
        <is>
          <t>UIII — Metodologia</t>
        </is>
      </c>
      <c r="H46" s="55" t="inlineStr">
        <is>
          <t>2.ª pré-defesa — apresentação da metodologia e dos instrumentos perante júri</t>
        </is>
      </c>
      <c r="I46" s="52" t="inlineStr">
        <is>
          <t>Avaliação prática</t>
        </is>
      </c>
      <c r="J46" s="52" t="n">
        <v>210</v>
      </c>
    </row>
    <row r="47">
      <c r="A47" s="48" t="n">
        <v>45</v>
      </c>
      <c r="B47" s="49" t="inlineStr">
        <is>
          <t>06/03/2027</t>
        </is>
      </c>
      <c r="C47" s="49" t="inlineStr">
        <is>
          <t>Sábado</t>
        </is>
      </c>
      <c r="D47" s="49" t="inlineStr">
        <is>
          <t>08h00–10h00</t>
        </is>
      </c>
      <c r="E47" s="49" t="inlineStr">
        <is>
          <t>1.º tempo</t>
        </is>
      </c>
      <c r="F47" s="50" t="inlineStr">
        <is>
          <t>GEN</t>
        </is>
      </c>
      <c r="G47" s="51" t="inlineStr">
        <is>
          <t>UIII — Gestão de recursos materiais</t>
        </is>
      </c>
      <c r="H47" s="51" t="inlineStr">
        <is>
          <t>Gestão de resíduos hospitalares e controlo de custos do serviço</t>
        </is>
      </c>
      <c r="I47" s="48" t="inlineStr">
        <is>
          <t>TP</t>
        </is>
      </c>
      <c r="J47" s="48" t="n">
        <v>120</v>
      </c>
    </row>
    <row r="48">
      <c r="A48" s="7" t="n">
        <v>46</v>
      </c>
      <c r="B48" s="8" t="inlineStr">
        <is>
          <t>06/03/2027</t>
        </is>
      </c>
      <c r="C48" s="8" t="inlineStr">
        <is>
          <t>Sábado</t>
        </is>
      </c>
      <c r="D48" s="8" t="inlineStr">
        <is>
          <t>10h00–10h30</t>
        </is>
      </c>
      <c r="E48" s="8" t="inlineStr">
        <is>
          <t>Intervalo</t>
        </is>
      </c>
      <c r="F48" s="9" t="inlineStr">
        <is>
          <t>—</t>
        </is>
      </c>
      <c r="G48" s="10" t="inlineStr">
        <is>
          <t>—</t>
        </is>
      </c>
      <c r="H48" s="10" t="inlineStr">
        <is>
          <t>Intervalo regulamentar</t>
        </is>
      </c>
      <c r="I48" s="7" t="inlineStr">
        <is>
          <t>—</t>
        </is>
      </c>
      <c r="J48" s="7" t="n">
        <v>30</v>
      </c>
    </row>
    <row r="49">
      <c r="A49" s="48" t="n">
        <v>47</v>
      </c>
      <c r="B49" s="49" t="inlineStr">
        <is>
          <t>06/03/2027</t>
        </is>
      </c>
      <c r="C49" s="49" t="inlineStr">
        <is>
          <t>Sábado</t>
        </is>
      </c>
      <c r="D49" s="49" t="inlineStr">
        <is>
          <t>10h30–12h30</t>
        </is>
      </c>
      <c r="E49" s="49" t="inlineStr">
        <is>
          <t>2.º tempo</t>
        </is>
      </c>
      <c r="F49" s="50" t="inlineStr">
        <is>
          <t>GEN</t>
        </is>
      </c>
      <c r="G49" s="51" t="inlineStr">
        <is>
          <t>UIII — Gestão de recursos materiais</t>
        </is>
      </c>
      <c r="H49" s="51" t="inlineStr">
        <is>
          <t>Gestão de resíduos hospitalares e controlo de custos do serviço</t>
        </is>
      </c>
      <c r="I49" s="48" t="inlineStr">
        <is>
          <t>TP</t>
        </is>
      </c>
      <c r="J49" s="48" t="n">
        <v>120</v>
      </c>
    </row>
    <row r="50">
      <c r="A50" s="52" t="n">
        <v>48</v>
      </c>
      <c r="B50" s="53" t="inlineStr">
        <is>
          <t>06/03/2027</t>
        </is>
      </c>
      <c r="C50" s="53" t="inlineStr">
        <is>
          <t>Sábado</t>
        </is>
      </c>
      <c r="D50" s="53" t="inlineStr">
        <is>
          <t>12h30–16h00</t>
        </is>
      </c>
      <c r="E50" s="53" t="inlineStr">
        <is>
          <t>Bloco de projecto</t>
        </is>
      </c>
      <c r="F50" s="54" t="inlineStr">
        <is>
          <t>PT</t>
        </is>
      </c>
      <c r="G50" s="55" t="inlineStr">
        <is>
          <t>UIV — Recolha e tratamento de dados</t>
        </is>
      </c>
      <c r="H50" s="55" t="inlineStr">
        <is>
          <t>Recolha de dados no terreno: organização, registo e controlo de qualidade</t>
        </is>
      </c>
      <c r="I50" s="52" t="inlineStr">
        <is>
          <t>P</t>
        </is>
      </c>
      <c r="J50" s="52" t="n">
        <v>210</v>
      </c>
    </row>
    <row r="51">
      <c r="A51" s="48" t="n">
        <v>49</v>
      </c>
      <c r="B51" s="49" t="inlineStr">
        <is>
          <t>13/03/2027</t>
        </is>
      </c>
      <c r="C51" s="49" t="inlineStr">
        <is>
          <t>Sábado</t>
        </is>
      </c>
      <c r="D51" s="49" t="inlineStr">
        <is>
          <t>08h00–10h00</t>
        </is>
      </c>
      <c r="E51" s="49" t="inlineStr">
        <is>
          <t>1.º tempo</t>
        </is>
      </c>
      <c r="F51" s="50" t="inlineStr">
        <is>
          <t>GEN</t>
        </is>
      </c>
      <c r="G51" s="51" t="inlineStr">
        <is>
          <t>UIV — Qualidade e segurança do doente</t>
        </is>
      </c>
      <c r="H51" s="51" t="inlineStr">
        <is>
          <t>Qualidade em saúde: conceitos, indicadores e padrões de cuidados de enfermagem</t>
        </is>
      </c>
      <c r="I51" s="48" t="inlineStr">
        <is>
          <t>T</t>
        </is>
      </c>
      <c r="J51" s="48" t="n">
        <v>120</v>
      </c>
    </row>
    <row r="52">
      <c r="A52" s="7" t="n">
        <v>50</v>
      </c>
      <c r="B52" s="8" t="inlineStr">
        <is>
          <t>13/03/2027</t>
        </is>
      </c>
      <c r="C52" s="8" t="inlineStr">
        <is>
          <t>Sábado</t>
        </is>
      </c>
      <c r="D52" s="8" t="inlineStr">
        <is>
          <t>10h00–10h30</t>
        </is>
      </c>
      <c r="E52" s="8" t="inlineStr">
        <is>
          <t>Intervalo</t>
        </is>
      </c>
      <c r="F52" s="9" t="inlineStr">
        <is>
          <t>—</t>
        </is>
      </c>
      <c r="G52" s="10" t="inlineStr">
        <is>
          <t>—</t>
        </is>
      </c>
      <c r="H52" s="10" t="inlineStr">
        <is>
          <t>Intervalo regulamentar</t>
        </is>
      </c>
      <c r="I52" s="7" t="inlineStr">
        <is>
          <t>—</t>
        </is>
      </c>
      <c r="J52" s="7" t="n">
        <v>30</v>
      </c>
    </row>
    <row r="53">
      <c r="A53" s="48" t="n">
        <v>51</v>
      </c>
      <c r="B53" s="49" t="inlineStr">
        <is>
          <t>13/03/2027</t>
        </is>
      </c>
      <c r="C53" s="49" t="inlineStr">
        <is>
          <t>Sábado</t>
        </is>
      </c>
      <c r="D53" s="49" t="inlineStr">
        <is>
          <t>10h30–12h30</t>
        </is>
      </c>
      <c r="E53" s="49" t="inlineStr">
        <is>
          <t>2.º tempo</t>
        </is>
      </c>
      <c r="F53" s="50" t="inlineStr">
        <is>
          <t>GEN</t>
        </is>
      </c>
      <c r="G53" s="51" t="inlineStr">
        <is>
          <t>UIV — Qualidade e segurança do doente</t>
        </is>
      </c>
      <c r="H53" s="51" t="inlineStr">
        <is>
          <t>Qualidade em saúde: conceitos, indicadores e padrões de cuidados de enfermagem</t>
        </is>
      </c>
      <c r="I53" s="48" t="inlineStr">
        <is>
          <t>T</t>
        </is>
      </c>
      <c r="J53" s="48" t="n">
        <v>120</v>
      </c>
    </row>
    <row r="54">
      <c r="A54" s="52" t="n">
        <v>52</v>
      </c>
      <c r="B54" s="53" t="inlineStr">
        <is>
          <t>13/03/2027</t>
        </is>
      </c>
      <c r="C54" s="53" t="inlineStr">
        <is>
          <t>Sábado</t>
        </is>
      </c>
      <c r="D54" s="53" t="inlineStr">
        <is>
          <t>12h30–16h00</t>
        </is>
      </c>
      <c r="E54" s="53" t="inlineStr">
        <is>
          <t>Bloco de projecto</t>
        </is>
      </c>
      <c r="F54" s="54" t="inlineStr">
        <is>
          <t>PT</t>
        </is>
      </c>
      <c r="G54" s="55" t="inlineStr">
        <is>
          <t>UIV — Recolha e tratamento de dados</t>
        </is>
      </c>
      <c r="H54" s="55" t="inlineStr">
        <is>
          <t>Tratamento de dados: tabelas, frequências e percentagens</t>
        </is>
      </c>
      <c r="I54" s="52" t="inlineStr">
        <is>
          <t>P</t>
        </is>
      </c>
      <c r="J54" s="52" t="n">
        <v>210</v>
      </c>
    </row>
    <row r="55">
      <c r="A55" s="48" t="n">
        <v>53</v>
      </c>
      <c r="B55" s="49" t="inlineStr">
        <is>
          <t>20/03/2027</t>
        </is>
      </c>
      <c r="C55" s="49" t="inlineStr">
        <is>
          <t>Sábado</t>
        </is>
      </c>
      <c r="D55" s="49" t="inlineStr">
        <is>
          <t>08h00–10h00</t>
        </is>
      </c>
      <c r="E55" s="49" t="inlineStr">
        <is>
          <t>1.º tempo</t>
        </is>
      </c>
      <c r="F55" s="50" t="inlineStr">
        <is>
          <t>GEN</t>
        </is>
      </c>
      <c r="G55" s="51" t="inlineStr">
        <is>
          <t>UIV — Qualidade e segurança do doente</t>
        </is>
      </c>
      <c r="H55" s="51" t="inlineStr">
        <is>
          <t>Auditoria interna de enfermagem e listas de verificação de serviço</t>
        </is>
      </c>
      <c r="I55" s="48" t="inlineStr">
        <is>
          <t>P</t>
        </is>
      </c>
      <c r="J55" s="48" t="n">
        <v>120</v>
      </c>
    </row>
    <row r="56">
      <c r="A56" s="7" t="n">
        <v>54</v>
      </c>
      <c r="B56" s="8" t="inlineStr">
        <is>
          <t>20/03/2027</t>
        </is>
      </c>
      <c r="C56" s="8" t="inlineStr">
        <is>
          <t>Sábado</t>
        </is>
      </c>
      <c r="D56" s="8" t="inlineStr">
        <is>
          <t>10h00–10h30</t>
        </is>
      </c>
      <c r="E56" s="8" t="inlineStr">
        <is>
          <t>Intervalo</t>
        </is>
      </c>
      <c r="F56" s="9" t="inlineStr">
        <is>
          <t>—</t>
        </is>
      </c>
      <c r="G56" s="10" t="inlineStr">
        <is>
          <t>—</t>
        </is>
      </c>
      <c r="H56" s="10" t="inlineStr">
        <is>
          <t>Intervalo regulamentar</t>
        </is>
      </c>
      <c r="I56" s="7" t="inlineStr">
        <is>
          <t>—</t>
        </is>
      </c>
      <c r="J56" s="7" t="n">
        <v>30</v>
      </c>
    </row>
    <row r="57">
      <c r="A57" s="48" t="n">
        <v>55</v>
      </c>
      <c r="B57" s="49" t="inlineStr">
        <is>
          <t>20/03/2027</t>
        </is>
      </c>
      <c r="C57" s="49" t="inlineStr">
        <is>
          <t>Sábado</t>
        </is>
      </c>
      <c r="D57" s="49" t="inlineStr">
        <is>
          <t>10h30–12h30</t>
        </is>
      </c>
      <c r="E57" s="49" t="inlineStr">
        <is>
          <t>2.º tempo</t>
        </is>
      </c>
      <c r="F57" s="50" t="inlineStr">
        <is>
          <t>GEN</t>
        </is>
      </c>
      <c r="G57" s="51" t="inlineStr">
        <is>
          <t>UIV — Qualidade e segurança do doente</t>
        </is>
      </c>
      <c r="H57" s="51" t="inlineStr">
        <is>
          <t>Auditoria interna de enfermagem e listas de verificação de serviço</t>
        </is>
      </c>
      <c r="I57" s="48" t="inlineStr">
        <is>
          <t>P</t>
        </is>
      </c>
      <c r="J57" s="48" t="n">
        <v>120</v>
      </c>
    </row>
    <row r="58">
      <c r="A58" s="52" t="n">
        <v>56</v>
      </c>
      <c r="B58" s="53" t="inlineStr">
        <is>
          <t>20/03/2027</t>
        </is>
      </c>
      <c r="C58" s="53" t="inlineStr">
        <is>
          <t>Sábado</t>
        </is>
      </c>
      <c r="D58" s="53" t="inlineStr">
        <is>
          <t>12h30–16h00</t>
        </is>
      </c>
      <c r="E58" s="53" t="inlineStr">
        <is>
          <t>Bloco de projecto</t>
        </is>
      </c>
      <c r="F58" s="54" t="inlineStr">
        <is>
          <t>PT</t>
        </is>
      </c>
      <c r="G58" s="55" t="inlineStr">
        <is>
          <t>UIV — Recolha e tratamento de dados</t>
        </is>
      </c>
      <c r="H58" s="55" t="inlineStr">
        <is>
          <t>Apresentação de dados: construção e leitura de gráficos</t>
        </is>
      </c>
      <c r="I58" s="52" t="inlineStr">
        <is>
          <t>P</t>
        </is>
      </c>
      <c r="J58" s="52" t="n">
        <v>210</v>
      </c>
    </row>
    <row r="59">
      <c r="A59" s="48" t="n">
        <v>57</v>
      </c>
      <c r="B59" s="49" t="inlineStr">
        <is>
          <t>27/03/2027</t>
        </is>
      </c>
      <c r="C59" s="49" t="inlineStr">
        <is>
          <t>Sábado</t>
        </is>
      </c>
      <c r="D59" s="49" t="inlineStr">
        <is>
          <t>08h00–10h00</t>
        </is>
      </c>
      <c r="E59" s="49" t="inlineStr">
        <is>
          <t>1.º tempo</t>
        </is>
      </c>
      <c r="F59" s="50" t="inlineStr">
        <is>
          <t>GEN</t>
        </is>
      </c>
      <c r="G59" s="51" t="inlineStr">
        <is>
          <t>UIV — Qualidade e segurança do doente</t>
        </is>
      </c>
      <c r="H59" s="51" t="inlineStr">
        <is>
          <t>Segurança do doente: notificação de incidentes e cultura não punitiva</t>
        </is>
      </c>
      <c r="I59" s="48" t="inlineStr">
        <is>
          <t>TP</t>
        </is>
      </c>
      <c r="J59" s="48" t="n">
        <v>120</v>
      </c>
    </row>
    <row r="60">
      <c r="A60" s="7" t="n">
        <v>58</v>
      </c>
      <c r="B60" s="8" t="inlineStr">
        <is>
          <t>27/03/2027</t>
        </is>
      </c>
      <c r="C60" s="8" t="inlineStr">
        <is>
          <t>Sábado</t>
        </is>
      </c>
      <c r="D60" s="8" t="inlineStr">
        <is>
          <t>10h00–10h30</t>
        </is>
      </c>
      <c r="E60" s="8" t="inlineStr">
        <is>
          <t>Intervalo</t>
        </is>
      </c>
      <c r="F60" s="9" t="inlineStr">
        <is>
          <t>—</t>
        </is>
      </c>
      <c r="G60" s="10" t="inlineStr">
        <is>
          <t>—</t>
        </is>
      </c>
      <c r="H60" s="10" t="inlineStr">
        <is>
          <t>Intervalo regulamentar</t>
        </is>
      </c>
      <c r="I60" s="7" t="inlineStr">
        <is>
          <t>—</t>
        </is>
      </c>
      <c r="J60" s="7" t="n">
        <v>30</v>
      </c>
    </row>
    <row r="61">
      <c r="A61" s="48" t="n">
        <v>59</v>
      </c>
      <c r="B61" s="49" t="inlineStr">
        <is>
          <t>27/03/2027</t>
        </is>
      </c>
      <c r="C61" s="49" t="inlineStr">
        <is>
          <t>Sábado</t>
        </is>
      </c>
      <c r="D61" s="49" t="inlineStr">
        <is>
          <t>10h30–12h30</t>
        </is>
      </c>
      <c r="E61" s="49" t="inlineStr">
        <is>
          <t>2.º tempo</t>
        </is>
      </c>
      <c r="F61" s="50" t="inlineStr">
        <is>
          <t>GEN</t>
        </is>
      </c>
      <c r="G61" s="51" t="inlineStr">
        <is>
          <t>UIV — Qualidade e segurança do doente</t>
        </is>
      </c>
      <c r="H61" s="51" t="inlineStr">
        <is>
          <t>Segurança do doente: notificação de incidentes e cultura não punitiva</t>
        </is>
      </c>
      <c r="I61" s="48" t="inlineStr">
        <is>
          <t>TP</t>
        </is>
      </c>
      <c r="J61" s="48" t="n">
        <v>120</v>
      </c>
    </row>
    <row r="62">
      <c r="A62" s="52" t="n">
        <v>60</v>
      </c>
      <c r="B62" s="53" t="inlineStr">
        <is>
          <t>27/03/2027</t>
        </is>
      </c>
      <c r="C62" s="53" t="inlineStr">
        <is>
          <t>Sábado</t>
        </is>
      </c>
      <c r="D62" s="53" t="inlineStr">
        <is>
          <t>12h30–16h00</t>
        </is>
      </c>
      <c r="E62" s="53" t="inlineStr">
        <is>
          <t>Bloco de projecto</t>
        </is>
      </c>
      <c r="F62" s="54" t="inlineStr">
        <is>
          <t>PT</t>
        </is>
      </c>
      <c r="G62" s="55" t="inlineStr">
        <is>
          <t>UIV — Recolha e tratamento de dados</t>
        </is>
      </c>
      <c r="H62" s="55" t="inlineStr">
        <is>
          <t>3.ª pré-defesa — apresentação dos resultados preliminares perante júri</t>
        </is>
      </c>
      <c r="I62" s="52" t="inlineStr">
        <is>
          <t>Avaliação prática</t>
        </is>
      </c>
      <c r="J62" s="52" t="n">
        <v>210</v>
      </c>
    </row>
    <row r="63">
      <c r="A63" s="48" t="n">
        <v>61</v>
      </c>
      <c r="B63" s="49" t="inlineStr">
        <is>
          <t>03/04/2027</t>
        </is>
      </c>
      <c r="C63" s="49" t="inlineStr">
        <is>
          <t>Sábado</t>
        </is>
      </c>
      <c r="D63" s="49" t="inlineStr">
        <is>
          <t>08h00–10h00</t>
        </is>
      </c>
      <c r="E63" s="49" t="inlineStr">
        <is>
          <t>1.º tempo</t>
        </is>
      </c>
      <c r="F63" s="50" t="inlineStr">
        <is>
          <t>GEN</t>
        </is>
      </c>
      <c r="G63" s="51" t="inlineStr">
        <is>
          <t>UIV — Qualidade e segurança do doente</t>
        </is>
      </c>
      <c r="H63" s="51" t="inlineStr">
        <is>
          <t>Prevenção e controlo de infecção na perspectiva da gestão do serviço</t>
        </is>
      </c>
      <c r="I63" s="48" t="inlineStr">
        <is>
          <t>TP</t>
        </is>
      </c>
      <c r="J63" s="48" t="n">
        <v>120</v>
      </c>
    </row>
    <row r="64">
      <c r="A64" s="7" t="n">
        <v>62</v>
      </c>
      <c r="B64" s="8" t="inlineStr">
        <is>
          <t>03/04/2027</t>
        </is>
      </c>
      <c r="C64" s="8" t="inlineStr">
        <is>
          <t>Sábado</t>
        </is>
      </c>
      <c r="D64" s="8" t="inlineStr">
        <is>
          <t>10h00–10h30</t>
        </is>
      </c>
      <c r="E64" s="8" t="inlineStr">
        <is>
          <t>Intervalo</t>
        </is>
      </c>
      <c r="F64" s="9" t="inlineStr">
        <is>
          <t>—</t>
        </is>
      </c>
      <c r="G64" s="10" t="inlineStr">
        <is>
          <t>—</t>
        </is>
      </c>
      <c r="H64" s="10" t="inlineStr">
        <is>
          <t>Intervalo regulamentar</t>
        </is>
      </c>
      <c r="I64" s="7" t="inlineStr">
        <is>
          <t>—</t>
        </is>
      </c>
      <c r="J64" s="7" t="n">
        <v>30</v>
      </c>
    </row>
    <row r="65">
      <c r="A65" s="48" t="n">
        <v>63</v>
      </c>
      <c r="B65" s="49" t="inlineStr">
        <is>
          <t>03/04/2027</t>
        </is>
      </c>
      <c r="C65" s="49" t="inlineStr">
        <is>
          <t>Sábado</t>
        </is>
      </c>
      <c r="D65" s="49" t="inlineStr">
        <is>
          <t>10h30–12h30</t>
        </is>
      </c>
      <c r="E65" s="49" t="inlineStr">
        <is>
          <t>2.º tempo</t>
        </is>
      </c>
      <c r="F65" s="50" t="inlineStr">
        <is>
          <t>GEN</t>
        </is>
      </c>
      <c r="G65" s="51" t="inlineStr">
        <is>
          <t>UIV — Qualidade e segurança do doente</t>
        </is>
      </c>
      <c r="H65" s="51" t="inlineStr">
        <is>
          <t>Prevenção e controlo de infecção na perspectiva da gestão do serviço</t>
        </is>
      </c>
      <c r="I65" s="48" t="inlineStr">
        <is>
          <t>TP</t>
        </is>
      </c>
      <c r="J65" s="48" t="n">
        <v>120</v>
      </c>
    </row>
    <row r="66">
      <c r="A66" s="52" t="n">
        <v>64</v>
      </c>
      <c r="B66" s="53" t="inlineStr">
        <is>
          <t>03/04/2027</t>
        </is>
      </c>
      <c r="C66" s="53" t="inlineStr">
        <is>
          <t>Sábado</t>
        </is>
      </c>
      <c r="D66" s="53" t="inlineStr">
        <is>
          <t>12h30–16h00</t>
        </is>
      </c>
      <c r="E66" s="53" t="inlineStr">
        <is>
          <t>Bloco de projecto</t>
        </is>
      </c>
      <c r="F66" s="54" t="inlineStr">
        <is>
          <t>PT</t>
        </is>
      </c>
      <c r="G66" s="55" t="inlineStr">
        <is>
          <t>UV — Discussão, conclusões e redacção</t>
        </is>
      </c>
      <c r="H66" s="55" t="inlineStr">
        <is>
          <t>Discussão dos resultados: confronto com a literatura consultada</t>
        </is>
      </c>
      <c r="I66" s="52" t="inlineStr">
        <is>
          <t>TP</t>
        </is>
      </c>
      <c r="J66" s="52" t="n">
        <v>210</v>
      </c>
    </row>
    <row r="67">
      <c r="A67" s="48" t="n">
        <v>65</v>
      </c>
      <c r="B67" s="49" t="inlineStr">
        <is>
          <t>10/04/2027</t>
        </is>
      </c>
      <c r="C67" s="49" t="inlineStr">
        <is>
          <t>Sábado</t>
        </is>
      </c>
      <c r="D67" s="49" t="inlineStr">
        <is>
          <t>08h00–10h00</t>
        </is>
      </c>
      <c r="E67" s="49" t="inlineStr">
        <is>
          <t>1.º tempo</t>
        </is>
      </c>
      <c r="F67" s="50" t="inlineStr">
        <is>
          <t>GEN</t>
        </is>
      </c>
      <c r="G67" s="51" t="inlineStr">
        <is>
          <t>UV — Ética, deontologia e direitos</t>
        </is>
      </c>
      <c r="H67" s="51" t="inlineStr">
        <is>
          <t>Ética e deontologia profissional aplicadas à chefia e à supervisão</t>
        </is>
      </c>
      <c r="I67" s="48" t="inlineStr">
        <is>
          <t>T</t>
        </is>
      </c>
      <c r="J67" s="48" t="n">
        <v>120</v>
      </c>
    </row>
    <row r="68">
      <c r="A68" s="7" t="n">
        <v>66</v>
      </c>
      <c r="B68" s="8" t="inlineStr">
        <is>
          <t>10/04/2027</t>
        </is>
      </c>
      <c r="C68" s="8" t="inlineStr">
        <is>
          <t>Sábado</t>
        </is>
      </c>
      <c r="D68" s="8" t="inlineStr">
        <is>
          <t>10h00–10h30</t>
        </is>
      </c>
      <c r="E68" s="8" t="inlineStr">
        <is>
          <t>Intervalo</t>
        </is>
      </c>
      <c r="F68" s="9" t="inlineStr">
        <is>
          <t>—</t>
        </is>
      </c>
      <c r="G68" s="10" t="inlineStr">
        <is>
          <t>—</t>
        </is>
      </c>
      <c r="H68" s="10" t="inlineStr">
        <is>
          <t>Intervalo regulamentar</t>
        </is>
      </c>
      <c r="I68" s="7" t="inlineStr">
        <is>
          <t>—</t>
        </is>
      </c>
      <c r="J68" s="7" t="n">
        <v>30</v>
      </c>
    </row>
    <row r="69">
      <c r="A69" s="48" t="n">
        <v>67</v>
      </c>
      <c r="B69" s="49" t="inlineStr">
        <is>
          <t>10/04/2027</t>
        </is>
      </c>
      <c r="C69" s="49" t="inlineStr">
        <is>
          <t>Sábado</t>
        </is>
      </c>
      <c r="D69" s="49" t="inlineStr">
        <is>
          <t>10h30–12h30</t>
        </is>
      </c>
      <c r="E69" s="49" t="inlineStr">
        <is>
          <t>2.º tempo</t>
        </is>
      </c>
      <c r="F69" s="50" t="inlineStr">
        <is>
          <t>GEN</t>
        </is>
      </c>
      <c r="G69" s="51" t="inlineStr">
        <is>
          <t>UV — Ética, deontologia e direitos</t>
        </is>
      </c>
      <c r="H69" s="51" t="inlineStr">
        <is>
          <t>Ética e deontologia profissional aplicadas à chefia e à supervisão</t>
        </is>
      </c>
      <c r="I69" s="48" t="inlineStr">
        <is>
          <t>T</t>
        </is>
      </c>
      <c r="J69" s="48" t="n">
        <v>120</v>
      </c>
    </row>
    <row r="70">
      <c r="A70" s="52" t="n">
        <v>68</v>
      </c>
      <c r="B70" s="53" t="inlineStr">
        <is>
          <t>10/04/2027</t>
        </is>
      </c>
      <c r="C70" s="53" t="inlineStr">
        <is>
          <t>Sábado</t>
        </is>
      </c>
      <c r="D70" s="53" t="inlineStr">
        <is>
          <t>12h30–16h00</t>
        </is>
      </c>
      <c r="E70" s="53" t="inlineStr">
        <is>
          <t>Bloco de projecto</t>
        </is>
      </c>
      <c r="F70" s="54" t="inlineStr">
        <is>
          <t>PT</t>
        </is>
      </c>
      <c r="G70" s="55" t="inlineStr">
        <is>
          <t>UV — Discussão, conclusões e redacção</t>
        </is>
      </c>
      <c r="H70" s="55" t="inlineStr">
        <is>
          <t>Conclusões, limitações do estudo e recomendações</t>
        </is>
      </c>
      <c r="I70" s="52" t="inlineStr">
        <is>
          <t>TP</t>
        </is>
      </c>
      <c r="J70" s="52" t="n">
        <v>210</v>
      </c>
    </row>
    <row r="71">
      <c r="A71" s="48" t="n">
        <v>69</v>
      </c>
      <c r="B71" s="49" t="inlineStr">
        <is>
          <t>17/04/2027</t>
        </is>
      </c>
      <c r="C71" s="49" t="inlineStr">
        <is>
          <t>Sábado</t>
        </is>
      </c>
      <c r="D71" s="49" t="inlineStr">
        <is>
          <t>08h00–10h00</t>
        </is>
      </c>
      <c r="E71" s="49" t="inlineStr">
        <is>
          <t>1.º tempo</t>
        </is>
      </c>
      <c r="F71" s="50" t="inlineStr">
        <is>
          <t>GEN</t>
        </is>
      </c>
      <c r="G71" s="51" t="inlineStr">
        <is>
          <t>UV — Ética, deontologia e direitos</t>
        </is>
      </c>
      <c r="H71" s="51" t="inlineStr">
        <is>
          <t>Sigilo profissional, consentimento informado e direitos do doente</t>
        </is>
      </c>
      <c r="I71" s="48" t="inlineStr">
        <is>
          <t>T</t>
        </is>
      </c>
      <c r="J71" s="48" t="n">
        <v>120</v>
      </c>
    </row>
    <row r="72">
      <c r="A72" s="7" t="n">
        <v>70</v>
      </c>
      <c r="B72" s="8" t="inlineStr">
        <is>
          <t>17/04/2027</t>
        </is>
      </c>
      <c r="C72" s="8" t="inlineStr">
        <is>
          <t>Sábado</t>
        </is>
      </c>
      <c r="D72" s="8" t="inlineStr">
        <is>
          <t>10h00–10h30</t>
        </is>
      </c>
      <c r="E72" s="8" t="inlineStr">
        <is>
          <t>Intervalo</t>
        </is>
      </c>
      <c r="F72" s="9" t="inlineStr">
        <is>
          <t>—</t>
        </is>
      </c>
      <c r="G72" s="10" t="inlineStr">
        <is>
          <t>—</t>
        </is>
      </c>
      <c r="H72" s="10" t="inlineStr">
        <is>
          <t>Intervalo regulamentar</t>
        </is>
      </c>
      <c r="I72" s="7" t="inlineStr">
        <is>
          <t>—</t>
        </is>
      </c>
      <c r="J72" s="7" t="n">
        <v>30</v>
      </c>
    </row>
    <row r="73">
      <c r="A73" s="48" t="n">
        <v>71</v>
      </c>
      <c r="B73" s="49" t="inlineStr">
        <is>
          <t>17/04/2027</t>
        </is>
      </c>
      <c r="C73" s="49" t="inlineStr">
        <is>
          <t>Sábado</t>
        </is>
      </c>
      <c r="D73" s="49" t="inlineStr">
        <is>
          <t>10h30–12h30</t>
        </is>
      </c>
      <c r="E73" s="49" t="inlineStr">
        <is>
          <t>2.º tempo</t>
        </is>
      </c>
      <c r="F73" s="50" t="inlineStr">
        <is>
          <t>GEN</t>
        </is>
      </c>
      <c r="G73" s="51" t="inlineStr">
        <is>
          <t>UV — Ética, deontologia e direitos</t>
        </is>
      </c>
      <c r="H73" s="51" t="inlineStr">
        <is>
          <t>Sigilo profissional, consentimento informado e direitos do doente</t>
        </is>
      </c>
      <c r="I73" s="48" t="inlineStr">
        <is>
          <t>T</t>
        </is>
      </c>
      <c r="J73" s="48" t="n">
        <v>120</v>
      </c>
    </row>
    <row r="74">
      <c r="A74" s="52" t="n">
        <v>72</v>
      </c>
      <c r="B74" s="53" t="inlineStr">
        <is>
          <t>17/04/2027</t>
        </is>
      </c>
      <c r="C74" s="53" t="inlineStr">
        <is>
          <t>Sábado</t>
        </is>
      </c>
      <c r="D74" s="53" t="inlineStr">
        <is>
          <t>12h30–16h00</t>
        </is>
      </c>
      <c r="E74" s="53" t="inlineStr">
        <is>
          <t>Bloco de projecto</t>
        </is>
      </c>
      <c r="F74" s="54" t="inlineStr">
        <is>
          <t>PT</t>
        </is>
      </c>
      <c r="G74" s="55" t="inlineStr">
        <is>
          <t>UV — Discussão, conclusões e redacção</t>
        </is>
      </c>
      <c r="H74" s="55" t="inlineStr">
        <is>
          <t>Redacção do trabalho: estrutura formal, capa, índice e paginação</t>
        </is>
      </c>
      <c r="I74" s="52" t="inlineStr">
        <is>
          <t>P</t>
        </is>
      </c>
      <c r="J74" s="52" t="n">
        <v>210</v>
      </c>
    </row>
    <row r="75">
      <c r="A75" s="48" t="n">
        <v>73</v>
      </c>
      <c r="B75" s="49" t="inlineStr">
        <is>
          <t>24/04/2027</t>
        </is>
      </c>
      <c r="C75" s="49" t="inlineStr">
        <is>
          <t>Sábado</t>
        </is>
      </c>
      <c r="D75" s="49" t="inlineStr">
        <is>
          <t>08h00–10h00</t>
        </is>
      </c>
      <c r="E75" s="49" t="inlineStr">
        <is>
          <t>1.º tempo</t>
        </is>
      </c>
      <c r="F75" s="50" t="inlineStr">
        <is>
          <t>GEN</t>
        </is>
      </c>
      <c r="G75" s="51" t="inlineStr">
        <is>
          <t>UVI — Gestão da informação</t>
        </is>
      </c>
      <c r="H75" s="51" t="inlineStr">
        <is>
          <t>Gestão da informação: registos, estatística do serviço e relatório mensal</t>
        </is>
      </c>
      <c r="I75" s="48" t="inlineStr">
        <is>
          <t>P</t>
        </is>
      </c>
      <c r="J75" s="48" t="n">
        <v>120</v>
      </c>
    </row>
    <row r="76">
      <c r="A76" s="7" t="n">
        <v>74</v>
      </c>
      <c r="B76" s="8" t="inlineStr">
        <is>
          <t>24/04/2027</t>
        </is>
      </c>
      <c r="C76" s="8" t="inlineStr">
        <is>
          <t>Sábado</t>
        </is>
      </c>
      <c r="D76" s="8" t="inlineStr">
        <is>
          <t>10h00–10h30</t>
        </is>
      </c>
      <c r="E76" s="8" t="inlineStr">
        <is>
          <t>Intervalo</t>
        </is>
      </c>
      <c r="F76" s="9" t="inlineStr">
        <is>
          <t>—</t>
        </is>
      </c>
      <c r="G76" s="10" t="inlineStr">
        <is>
          <t>—</t>
        </is>
      </c>
      <c r="H76" s="10" t="inlineStr">
        <is>
          <t>Intervalo regulamentar</t>
        </is>
      </c>
      <c r="I76" s="7" t="inlineStr">
        <is>
          <t>—</t>
        </is>
      </c>
      <c r="J76" s="7" t="n">
        <v>30</v>
      </c>
    </row>
    <row r="77">
      <c r="A77" s="48" t="n">
        <v>75</v>
      </c>
      <c r="B77" s="49" t="inlineStr">
        <is>
          <t>24/04/2027</t>
        </is>
      </c>
      <c r="C77" s="49" t="inlineStr">
        <is>
          <t>Sábado</t>
        </is>
      </c>
      <c r="D77" s="49" t="inlineStr">
        <is>
          <t>10h30–12h30</t>
        </is>
      </c>
      <c r="E77" s="49" t="inlineStr">
        <is>
          <t>2.º tempo</t>
        </is>
      </c>
      <c r="F77" s="50" t="inlineStr">
        <is>
          <t>GEN</t>
        </is>
      </c>
      <c r="G77" s="51" t="inlineStr">
        <is>
          <t>UVI — Gestão da informação</t>
        </is>
      </c>
      <c r="H77" s="51" t="inlineStr">
        <is>
          <t>Gestão da informação: registos, estatística do serviço e relatório mensal</t>
        </is>
      </c>
      <c r="I77" s="48" t="inlineStr">
        <is>
          <t>P</t>
        </is>
      </c>
      <c r="J77" s="48" t="n">
        <v>120</v>
      </c>
    </row>
    <row r="78">
      <c r="A78" s="52" t="n">
        <v>76</v>
      </c>
      <c r="B78" s="53" t="inlineStr">
        <is>
          <t>24/04/2027</t>
        </is>
      </c>
      <c r="C78" s="53" t="inlineStr">
        <is>
          <t>Sábado</t>
        </is>
      </c>
      <c r="D78" s="53" t="inlineStr">
        <is>
          <t>12h30–16h00</t>
        </is>
      </c>
      <c r="E78" s="53" t="inlineStr">
        <is>
          <t>Bloco de projecto</t>
        </is>
      </c>
      <c r="F78" s="54" t="inlineStr">
        <is>
          <t>PT</t>
        </is>
      </c>
      <c r="G78" s="55" t="inlineStr">
        <is>
          <t>UV — Discussão, conclusões e redacção</t>
        </is>
      </c>
      <c r="H78" s="55" t="inlineStr">
        <is>
          <t>4.ª pré-defesa — apresentação do trabalho completo perante júri</t>
        </is>
      </c>
      <c r="I78" s="52" t="inlineStr">
        <is>
          <t>Avaliação prática</t>
        </is>
      </c>
      <c r="J78" s="52" t="n">
        <v>210</v>
      </c>
    </row>
    <row r="79">
      <c r="A79" s="48" t="n">
        <v>77</v>
      </c>
      <c r="B79" s="49" t="inlineStr">
        <is>
          <t>01/05/2027</t>
        </is>
      </c>
      <c r="C79" s="49" t="inlineStr">
        <is>
          <t>Sábado</t>
        </is>
      </c>
      <c r="D79" s="49" t="inlineStr">
        <is>
          <t>08h00–10h00</t>
        </is>
      </c>
      <c r="E79" s="49" t="inlineStr">
        <is>
          <t>1.º tempo</t>
        </is>
      </c>
      <c r="F79" s="50" t="inlineStr">
        <is>
          <t>GEN</t>
        </is>
      </c>
      <c r="G79" s="51" t="inlineStr">
        <is>
          <t>UVII — Relações de trabalho</t>
        </is>
      </c>
      <c r="H79" s="51" t="inlineStr">
        <is>
          <t>Actividade do Dia do Trabalhador — o trabalho de enfermagem em Angola: mesa-redonda com professores e formandos</t>
        </is>
      </c>
      <c r="I79" s="48" t="inlineStr">
        <is>
          <t>TP</t>
        </is>
      </c>
      <c r="J79" s="48" t="n">
        <v>120</v>
      </c>
    </row>
    <row r="80">
      <c r="A80" s="7" t="n">
        <v>78</v>
      </c>
      <c r="B80" s="8" t="inlineStr">
        <is>
          <t>01/05/2027</t>
        </is>
      </c>
      <c r="C80" s="8" t="inlineStr">
        <is>
          <t>Sábado</t>
        </is>
      </c>
      <c r="D80" s="8" t="inlineStr">
        <is>
          <t>10h00–10h30</t>
        </is>
      </c>
      <c r="E80" s="8" t="inlineStr">
        <is>
          <t>Intervalo</t>
        </is>
      </c>
      <c r="F80" s="9" t="inlineStr">
        <is>
          <t>—</t>
        </is>
      </c>
      <c r="G80" s="10" t="inlineStr">
        <is>
          <t>—</t>
        </is>
      </c>
      <c r="H80" s="10" t="inlineStr">
        <is>
          <t>Intervalo regulamentar</t>
        </is>
      </c>
      <c r="I80" s="7" t="inlineStr">
        <is>
          <t>—</t>
        </is>
      </c>
      <c r="J80" s="7" t="n">
        <v>30</v>
      </c>
    </row>
    <row r="81">
      <c r="A81" s="48" t="n">
        <v>79</v>
      </c>
      <c r="B81" s="49" t="inlineStr">
        <is>
          <t>01/05/2027</t>
        </is>
      </c>
      <c r="C81" s="49" t="inlineStr">
        <is>
          <t>Sábado</t>
        </is>
      </c>
      <c r="D81" s="49" t="inlineStr">
        <is>
          <t>10h30–12h30</t>
        </is>
      </c>
      <c r="E81" s="49" t="inlineStr">
        <is>
          <t>2.º tempo</t>
        </is>
      </c>
      <c r="F81" s="50" t="inlineStr">
        <is>
          <t>GEN</t>
        </is>
      </c>
      <c r="G81" s="51" t="inlineStr">
        <is>
          <t>UVII — Relações de trabalho</t>
        </is>
      </c>
      <c r="H81" s="51" t="inlineStr">
        <is>
          <t>Actividade do Dia do Trabalhador — o trabalho de enfermagem em Angola: mesa-redonda com professores e formandos</t>
        </is>
      </c>
      <c r="I81" s="48" t="inlineStr">
        <is>
          <t>TP</t>
        </is>
      </c>
      <c r="J81" s="48" t="n">
        <v>120</v>
      </c>
    </row>
    <row r="82">
      <c r="A82" s="52" t="n">
        <v>80</v>
      </c>
      <c r="B82" s="53" t="inlineStr">
        <is>
          <t>01/05/2027</t>
        </is>
      </c>
      <c r="C82" s="53" t="inlineStr">
        <is>
          <t>Sábado</t>
        </is>
      </c>
      <c r="D82" s="53" t="inlineStr">
        <is>
          <t>12h30–16h00</t>
        </is>
      </c>
      <c r="E82" s="53" t="inlineStr">
        <is>
          <t>Bloco de projecto</t>
        </is>
      </c>
      <c r="F82" s="54" t="inlineStr">
        <is>
          <t>PT</t>
        </is>
      </c>
      <c r="G82" s="55" t="inlineStr">
        <is>
          <t>UVI — Preparação da defesa</t>
        </is>
      </c>
      <c r="H82" s="55" t="inlineStr">
        <is>
          <t>Actividade do Dia do Trabalhador — exposição dos projectos à comunidade escolar</t>
        </is>
      </c>
      <c r="I82" s="52" t="inlineStr">
        <is>
          <t>P</t>
        </is>
      </c>
      <c r="J82" s="52" t="n">
        <v>210</v>
      </c>
    </row>
    <row r="83">
      <c r="A83" s="48" t="n">
        <v>81</v>
      </c>
      <c r="B83" s="49" t="inlineStr">
        <is>
          <t>08/05/2027</t>
        </is>
      </c>
      <c r="C83" s="49" t="inlineStr">
        <is>
          <t>Sábado</t>
        </is>
      </c>
      <c r="D83" s="49" t="inlineStr">
        <is>
          <t>08h00–10h00</t>
        </is>
      </c>
      <c r="E83" s="49" t="inlineStr">
        <is>
          <t>1.º tempo</t>
        </is>
      </c>
      <c r="F83" s="50" t="inlineStr">
        <is>
          <t>GEN</t>
        </is>
      </c>
      <c r="G83" s="51" t="inlineStr">
        <is>
          <t>UVII — Relações de trabalho</t>
        </is>
      </c>
      <c r="H83" s="51" t="inlineStr">
        <is>
          <t>Gestão de conflitos e comunicação institucional</t>
        </is>
      </c>
      <c r="I83" s="48" t="inlineStr">
        <is>
          <t>TP</t>
        </is>
      </c>
      <c r="J83" s="48" t="n">
        <v>120</v>
      </c>
    </row>
    <row r="84">
      <c r="A84" s="7" t="n">
        <v>82</v>
      </c>
      <c r="B84" s="8" t="inlineStr">
        <is>
          <t>08/05/2027</t>
        </is>
      </c>
      <c r="C84" s="8" t="inlineStr">
        <is>
          <t>Sábado</t>
        </is>
      </c>
      <c r="D84" s="8" t="inlineStr">
        <is>
          <t>10h00–10h30</t>
        </is>
      </c>
      <c r="E84" s="8" t="inlineStr">
        <is>
          <t>Intervalo</t>
        </is>
      </c>
      <c r="F84" s="9" t="inlineStr">
        <is>
          <t>—</t>
        </is>
      </c>
      <c r="G84" s="10" t="inlineStr">
        <is>
          <t>—</t>
        </is>
      </c>
      <c r="H84" s="10" t="inlineStr">
        <is>
          <t>Intervalo regulamentar</t>
        </is>
      </c>
      <c r="I84" s="7" t="inlineStr">
        <is>
          <t>—</t>
        </is>
      </c>
      <c r="J84" s="7" t="n">
        <v>30</v>
      </c>
    </row>
    <row r="85">
      <c r="A85" s="48" t="n">
        <v>83</v>
      </c>
      <c r="B85" s="49" t="inlineStr">
        <is>
          <t>08/05/2027</t>
        </is>
      </c>
      <c r="C85" s="49" t="inlineStr">
        <is>
          <t>Sábado</t>
        </is>
      </c>
      <c r="D85" s="49" t="inlineStr">
        <is>
          <t>10h30–12h30</t>
        </is>
      </c>
      <c r="E85" s="49" t="inlineStr">
        <is>
          <t>2.º tempo</t>
        </is>
      </c>
      <c r="F85" s="50" t="inlineStr">
        <is>
          <t>GEN</t>
        </is>
      </c>
      <c r="G85" s="51" t="inlineStr">
        <is>
          <t>UVII — Relações de trabalho</t>
        </is>
      </c>
      <c r="H85" s="51" t="inlineStr">
        <is>
          <t>Gestão de conflitos e comunicação institucional</t>
        </is>
      </c>
      <c r="I85" s="48" t="inlineStr">
        <is>
          <t>TP</t>
        </is>
      </c>
      <c r="J85" s="48" t="n">
        <v>120</v>
      </c>
    </row>
    <row r="86">
      <c r="A86" s="52" t="n">
        <v>84</v>
      </c>
      <c r="B86" s="53" t="inlineStr">
        <is>
          <t>08/05/2027</t>
        </is>
      </c>
      <c r="C86" s="53" t="inlineStr">
        <is>
          <t>Sábado</t>
        </is>
      </c>
      <c r="D86" s="53" t="inlineStr">
        <is>
          <t>12h30–16h00</t>
        </is>
      </c>
      <c r="E86" s="53" t="inlineStr">
        <is>
          <t>Bloco de projecto</t>
        </is>
      </c>
      <c r="F86" s="54" t="inlineStr">
        <is>
          <t>PT</t>
        </is>
      </c>
      <c r="G86" s="55" t="inlineStr">
        <is>
          <t>UVI — Preparação da defesa</t>
        </is>
      </c>
      <c r="H86" s="55" t="inlineStr">
        <is>
          <t>Normas de citação e referências bibliográficas; revisão do texto após a entrega</t>
        </is>
      </c>
      <c r="I86" s="52" t="inlineStr">
        <is>
          <t>P</t>
        </is>
      </c>
      <c r="J86" s="52" t="n">
        <v>210</v>
      </c>
    </row>
    <row r="87">
      <c r="A87" s="48" t="n">
        <v>85</v>
      </c>
      <c r="B87" s="49" t="inlineStr">
        <is>
          <t>15/05/2027</t>
        </is>
      </c>
      <c r="C87" s="49" t="inlineStr">
        <is>
          <t>Sábado</t>
        </is>
      </c>
      <c r="D87" s="49" t="inlineStr">
        <is>
          <t>08h00–10h00</t>
        </is>
      </c>
      <c r="E87" s="49" t="inlineStr">
        <is>
          <t>1.º tempo</t>
        </is>
      </c>
      <c r="F87" s="50" t="inlineStr">
        <is>
          <t>GEN</t>
        </is>
      </c>
      <c r="G87" s="51" t="inlineStr">
        <is>
          <t>UVII — Relações de trabalho</t>
        </is>
      </c>
      <c r="H87" s="51" t="inlineStr">
        <is>
          <t>Trabalho em equipa multiprofissional e condução de reuniões de serviço</t>
        </is>
      </c>
      <c r="I87" s="48" t="inlineStr">
        <is>
          <t>TP</t>
        </is>
      </c>
      <c r="J87" s="48" t="n">
        <v>120</v>
      </c>
    </row>
    <row r="88">
      <c r="A88" s="7" t="n">
        <v>86</v>
      </c>
      <c r="B88" s="8" t="inlineStr">
        <is>
          <t>15/05/2027</t>
        </is>
      </c>
      <c r="C88" s="8" t="inlineStr">
        <is>
          <t>Sábado</t>
        </is>
      </c>
      <c r="D88" s="8" t="inlineStr">
        <is>
          <t>10h00–10h30</t>
        </is>
      </c>
      <c r="E88" s="8" t="inlineStr">
        <is>
          <t>Intervalo</t>
        </is>
      </c>
      <c r="F88" s="9" t="inlineStr">
        <is>
          <t>—</t>
        </is>
      </c>
      <c r="G88" s="10" t="inlineStr">
        <is>
          <t>—</t>
        </is>
      </c>
      <c r="H88" s="10" t="inlineStr">
        <is>
          <t>Intervalo regulamentar</t>
        </is>
      </c>
      <c r="I88" s="7" t="inlineStr">
        <is>
          <t>—</t>
        </is>
      </c>
      <c r="J88" s="7" t="n">
        <v>30</v>
      </c>
    </row>
    <row r="89">
      <c r="A89" s="48" t="n">
        <v>87</v>
      </c>
      <c r="B89" s="49" t="inlineStr">
        <is>
          <t>15/05/2027</t>
        </is>
      </c>
      <c r="C89" s="49" t="inlineStr">
        <is>
          <t>Sábado</t>
        </is>
      </c>
      <c r="D89" s="49" t="inlineStr">
        <is>
          <t>10h30–12h30</t>
        </is>
      </c>
      <c r="E89" s="49" t="inlineStr">
        <is>
          <t>2.º tempo</t>
        </is>
      </c>
      <c r="F89" s="50" t="inlineStr">
        <is>
          <t>GEN</t>
        </is>
      </c>
      <c r="G89" s="51" t="inlineStr">
        <is>
          <t>UVII — Relações de trabalho</t>
        </is>
      </c>
      <c r="H89" s="51" t="inlineStr">
        <is>
          <t>Trabalho em equipa multiprofissional e condução de reuniões de serviço</t>
        </is>
      </c>
      <c r="I89" s="48" t="inlineStr">
        <is>
          <t>TP</t>
        </is>
      </c>
      <c r="J89" s="48" t="n">
        <v>120</v>
      </c>
    </row>
    <row r="90">
      <c r="A90" s="52" t="n">
        <v>88</v>
      </c>
      <c r="B90" s="53" t="inlineStr">
        <is>
          <t>15/05/2027</t>
        </is>
      </c>
      <c r="C90" s="53" t="inlineStr">
        <is>
          <t>Sábado</t>
        </is>
      </c>
      <c r="D90" s="53" t="inlineStr">
        <is>
          <t>12h30–16h00</t>
        </is>
      </c>
      <c r="E90" s="53" t="inlineStr">
        <is>
          <t>Bloco de projecto</t>
        </is>
      </c>
      <c r="F90" s="54" t="inlineStr">
        <is>
          <t>PT</t>
        </is>
      </c>
      <c r="G90" s="55" t="inlineStr">
        <is>
          <t>UVI — Preparação da defesa</t>
        </is>
      </c>
      <c r="H90" s="55" t="inlineStr">
        <is>
          <t>Preparação da apresentação oral: estrutura, meios de apoio e distribuição de papéis no grupo</t>
        </is>
      </c>
      <c r="I90" s="52" t="inlineStr">
        <is>
          <t>P</t>
        </is>
      </c>
      <c r="J90" s="52" t="n">
        <v>210</v>
      </c>
    </row>
    <row r="91">
      <c r="A91" s="48" t="n">
        <v>89</v>
      </c>
      <c r="B91" s="49" t="inlineStr">
        <is>
          <t>22/05/2027</t>
        </is>
      </c>
      <c r="C91" s="49" t="inlineStr">
        <is>
          <t>Sábado</t>
        </is>
      </c>
      <c r="D91" s="49" t="inlineStr">
        <is>
          <t>08h00–10h00</t>
        </is>
      </c>
      <c r="E91" s="49" t="inlineStr">
        <is>
          <t>1.º tempo</t>
        </is>
      </c>
      <c r="F91" s="50" t="inlineStr">
        <is>
          <t>GEN</t>
        </is>
      </c>
      <c r="G91" s="51" t="inlineStr">
        <is>
          <t>UVIII — Empreendedorismo e inserção profissional</t>
        </is>
      </c>
      <c r="H91" s="51" t="inlineStr">
        <is>
          <t>Empreendedorismo em saúde e projectos de intervenção comunitária</t>
        </is>
      </c>
      <c r="I91" s="48" t="inlineStr">
        <is>
          <t>TP</t>
        </is>
      </c>
      <c r="J91" s="48" t="n">
        <v>120</v>
      </c>
    </row>
    <row r="92">
      <c r="A92" s="7" t="n">
        <v>90</v>
      </c>
      <c r="B92" s="8" t="inlineStr">
        <is>
          <t>22/05/2027</t>
        </is>
      </c>
      <c r="C92" s="8" t="inlineStr">
        <is>
          <t>Sábado</t>
        </is>
      </c>
      <c r="D92" s="8" t="inlineStr">
        <is>
          <t>10h00–10h30</t>
        </is>
      </c>
      <c r="E92" s="8" t="inlineStr">
        <is>
          <t>Intervalo</t>
        </is>
      </c>
      <c r="F92" s="9" t="inlineStr">
        <is>
          <t>—</t>
        </is>
      </c>
      <c r="G92" s="10" t="inlineStr">
        <is>
          <t>—</t>
        </is>
      </c>
      <c r="H92" s="10" t="inlineStr">
        <is>
          <t>Intervalo regulamentar</t>
        </is>
      </c>
      <c r="I92" s="7" t="inlineStr">
        <is>
          <t>—</t>
        </is>
      </c>
      <c r="J92" s="7" t="n">
        <v>30</v>
      </c>
    </row>
    <row r="93">
      <c r="A93" s="48" t="n">
        <v>91</v>
      </c>
      <c r="B93" s="49" t="inlineStr">
        <is>
          <t>22/05/2027</t>
        </is>
      </c>
      <c r="C93" s="49" t="inlineStr">
        <is>
          <t>Sábado</t>
        </is>
      </c>
      <c r="D93" s="49" t="inlineStr">
        <is>
          <t>10h30–12h30</t>
        </is>
      </c>
      <c r="E93" s="49" t="inlineStr">
        <is>
          <t>2.º tempo</t>
        </is>
      </c>
      <c r="F93" s="50" t="inlineStr">
        <is>
          <t>GEN</t>
        </is>
      </c>
      <c r="G93" s="51" t="inlineStr">
        <is>
          <t>UVIII — Empreendedorismo e inserção profissional</t>
        </is>
      </c>
      <c r="H93" s="51" t="inlineStr">
        <is>
          <t>Empreendedorismo em saúde e projectos de intervenção comunitária</t>
        </is>
      </c>
      <c r="I93" s="48" t="inlineStr">
        <is>
          <t>TP</t>
        </is>
      </c>
      <c r="J93" s="48" t="n">
        <v>120</v>
      </c>
    </row>
    <row r="94">
      <c r="A94" s="52" t="n">
        <v>92</v>
      </c>
      <c r="B94" s="53" t="inlineStr">
        <is>
          <t>22/05/2027</t>
        </is>
      </c>
      <c r="C94" s="53" t="inlineStr">
        <is>
          <t>Sábado</t>
        </is>
      </c>
      <c r="D94" s="53" t="inlineStr">
        <is>
          <t>12h30–16h00</t>
        </is>
      </c>
      <c r="E94" s="53" t="inlineStr">
        <is>
          <t>Bloco de projecto</t>
        </is>
      </c>
      <c r="F94" s="54" t="inlineStr">
        <is>
          <t>PT</t>
        </is>
      </c>
      <c r="G94" s="55" t="inlineStr">
        <is>
          <t>UVI — Preparação da defesa</t>
        </is>
      </c>
      <c r="H94" s="55" t="inlineStr">
        <is>
          <t>Técnicas de apresentação oral e resposta às perguntas do júri</t>
        </is>
      </c>
      <c r="I94" s="52" t="inlineStr">
        <is>
          <t>P</t>
        </is>
      </c>
      <c r="J94" s="52" t="n">
        <v>210</v>
      </c>
    </row>
    <row r="95">
      <c r="A95" s="48" t="n">
        <v>93</v>
      </c>
      <c r="B95" s="49" t="inlineStr">
        <is>
          <t>29/05/2027</t>
        </is>
      </c>
      <c r="C95" s="49" t="inlineStr">
        <is>
          <t>Sábado</t>
        </is>
      </c>
      <c r="D95" s="49" t="inlineStr">
        <is>
          <t>08h00–10h00</t>
        </is>
      </c>
      <c r="E95" s="49" t="inlineStr">
        <is>
          <t>1.º tempo</t>
        </is>
      </c>
      <c r="F95" s="50" t="inlineStr">
        <is>
          <t>GEN</t>
        </is>
      </c>
      <c r="G95" s="51" t="inlineStr">
        <is>
          <t>UVIII — Empreendedorismo e inserção profissional</t>
        </is>
      </c>
      <c r="H95" s="51" t="inlineStr">
        <is>
          <t>Inserção profissional: currículo, entrevista e primeiro emprego; avaliação final da disciplina</t>
        </is>
      </c>
      <c r="I95" s="48" t="inlineStr">
        <is>
          <t>Avaliação prática</t>
        </is>
      </c>
      <c r="J95" s="48" t="n">
        <v>120</v>
      </c>
    </row>
    <row r="96">
      <c r="A96" s="7" t="n">
        <v>94</v>
      </c>
      <c r="B96" s="8" t="inlineStr">
        <is>
          <t>29/05/2027</t>
        </is>
      </c>
      <c r="C96" s="8" t="inlineStr">
        <is>
          <t>Sábado</t>
        </is>
      </c>
      <c r="D96" s="8" t="inlineStr">
        <is>
          <t>10h00–10h30</t>
        </is>
      </c>
      <c r="E96" s="8" t="inlineStr">
        <is>
          <t>Intervalo</t>
        </is>
      </c>
      <c r="F96" s="9" t="inlineStr">
        <is>
          <t>—</t>
        </is>
      </c>
      <c r="G96" s="10" t="inlineStr">
        <is>
          <t>—</t>
        </is>
      </c>
      <c r="H96" s="10" t="inlineStr">
        <is>
          <t>Intervalo regulamentar</t>
        </is>
      </c>
      <c r="I96" s="7" t="inlineStr">
        <is>
          <t>—</t>
        </is>
      </c>
      <c r="J96" s="7" t="n">
        <v>30</v>
      </c>
    </row>
    <row r="97">
      <c r="A97" s="48" t="n">
        <v>95</v>
      </c>
      <c r="B97" s="49" t="inlineStr">
        <is>
          <t>29/05/2027</t>
        </is>
      </c>
      <c r="C97" s="49" t="inlineStr">
        <is>
          <t>Sábado</t>
        </is>
      </c>
      <c r="D97" s="49" t="inlineStr">
        <is>
          <t>10h30–12h30</t>
        </is>
      </c>
      <c r="E97" s="49" t="inlineStr">
        <is>
          <t>2.º tempo</t>
        </is>
      </c>
      <c r="F97" s="50" t="inlineStr">
        <is>
          <t>GEN</t>
        </is>
      </c>
      <c r="G97" s="51" t="inlineStr">
        <is>
          <t>UVIII — Empreendedorismo e inserção profissional</t>
        </is>
      </c>
      <c r="H97" s="51" t="inlineStr">
        <is>
          <t>Inserção profissional: currículo, entrevista e primeiro emprego; avaliação final da disciplina</t>
        </is>
      </c>
      <c r="I97" s="48" t="inlineStr">
        <is>
          <t>Avaliação prática</t>
        </is>
      </c>
      <c r="J97" s="48" t="n">
        <v>120</v>
      </c>
    </row>
    <row r="98">
      <c r="A98" s="52" t="n">
        <v>96</v>
      </c>
      <c r="B98" s="53" t="inlineStr">
        <is>
          <t>29/05/2027</t>
        </is>
      </c>
      <c r="C98" s="53" t="inlineStr">
        <is>
          <t>Sábado</t>
        </is>
      </c>
      <c r="D98" s="53" t="inlineStr">
        <is>
          <t>12h30–16h00</t>
        </is>
      </c>
      <c r="E98" s="53" t="inlineStr">
        <is>
          <t>Bloco de projecto</t>
        </is>
      </c>
      <c r="F98" s="54" t="inlineStr">
        <is>
          <t>PT</t>
        </is>
      </c>
      <c r="G98" s="55" t="inlineStr">
        <is>
          <t>UVI — Preparação da defesa</t>
        </is>
      </c>
      <c r="H98" s="55" t="inlineStr">
        <is>
          <t>Ensaio geral da defesa perante júri simulado</t>
        </is>
      </c>
      <c r="I98" s="52" t="inlineStr">
        <is>
          <t>Avaliação prática</t>
        </is>
      </c>
      <c r="J98" s="52" t="n">
        <v>210</v>
      </c>
    </row>
    <row r="100">
      <c r="F100" s="47" t="inlineStr">
        <is>
          <t>GEN</t>
        </is>
      </c>
      <c r="H100" s="56">
        <f>SUMIF(Sábados!$F$3:$F$98,"GEN",Sábados!$J$3:$J$98)/60</f>
        <v/>
      </c>
    </row>
    <row r="101">
      <c r="F101" s="47" t="inlineStr">
        <is>
          <t>PT</t>
        </is>
      </c>
      <c r="H101" s="56">
        <f>SUMIF(Sábados!$F$3:$F$98,"PT",Sábados!$J$3:$J$98)/60</f>
        <v/>
      </c>
    </row>
    <row r="102">
      <c r="F102" s="47" t="inlineStr">
        <is>
          <t>TOTAL</t>
        </is>
      </c>
      <c r="H102" s="57">
        <f>H100+H101</f>
        <v/>
      </c>
    </row>
  </sheetData>
  <autoFilter ref="A2:J98"/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cols>
    <col width="28" customWidth="1" min="1" max="1"/>
    <col width="46" customWidth="1" min="2" max="2"/>
    <col width="46" customWidth="1" min="3" max="3"/>
  </cols>
  <sheetData>
    <row r="1">
      <c r="A1" s="1" t="inlineStr">
        <is>
          <t>Estágios, pré-defesas e defesa de fim de curso</t>
        </is>
      </c>
    </row>
    <row r="3">
      <c r="A3" s="58" t="inlineStr">
        <is>
          <t>Campo</t>
        </is>
      </c>
      <c r="B3" s="58" t="inlineStr">
        <is>
          <t>Estágio preliminar</t>
        </is>
      </c>
      <c r="C3" s="58" t="inlineStr">
        <is>
          <t>Estágio curricular</t>
        </is>
      </c>
    </row>
    <row r="4">
      <c r="A4" s="58" t="inlineStr">
        <is>
          <t>Encargo</t>
        </is>
      </c>
      <c r="B4" s="58" t="inlineStr">
        <is>
          <t>Valor</t>
        </is>
      </c>
      <c r="C4" s="58" t="inlineStr">
        <is>
          <t>Regime</t>
        </is>
      </c>
      <c r="D4" s="58" t="inlineStr">
        <is>
          <t>Prazo</t>
        </is>
      </c>
    </row>
    <row r="5">
      <c r="A5" s="59" t="inlineStr">
        <is>
          <t>Confirmação do III.º Módulo</t>
        </is>
      </c>
      <c r="B5" s="60" t="inlineStr">
        <is>
          <t>Hospital do Capalanga (Viana)</t>
        </is>
      </c>
      <c r="C5" s="60" t="inlineStr">
        <is>
          <t>Acto único, por formando</t>
        </is>
      </c>
      <c r="D5" s="60" t="inlineStr">
        <is>
          <t>No início do módulo</t>
        </is>
      </c>
    </row>
    <row r="6">
      <c r="A6" s="59" t="inlineStr">
        <is>
          <t>Mensalidade</t>
        </is>
      </c>
      <c r="B6" s="60" t="inlineStr">
        <is>
          <t>30/09/2026</t>
        </is>
      </c>
      <c r="C6" s="60" t="inlineStr">
        <is>
          <t>9 mensalidades, de Outubro de 2026 a Junho de 2027</t>
        </is>
      </c>
      <c r="D6" s="60" t="inlineStr">
        <is>
          <t>Até ao dia 10 de cada mês</t>
        </is>
      </c>
    </row>
    <row r="7">
      <c r="A7" s="59" t="inlineStr">
        <is>
          <t>Comparticipação para aulas práticas</t>
        </is>
      </c>
      <c r="B7" s="60" t="inlineStr">
        <is>
          <t>05/10/2026</t>
        </is>
      </c>
      <c r="C7" s="60" t="inlineStr">
        <is>
          <t>Acto único, por formando</t>
        </is>
      </c>
      <c r="D7" s="60" t="inlineStr">
        <is>
          <t>No início do módulo</t>
        </is>
      </c>
    </row>
    <row r="8">
      <c r="A8" s="59" t="inlineStr">
        <is>
          <t>Túnica</t>
        </is>
      </c>
      <c r="B8" s="60" t="inlineStr">
        <is>
          <t>05/01/2027</t>
        </is>
      </c>
      <c r="C8" s="60" t="inlineStr">
        <is>
          <t>Acto único, por formando</t>
        </is>
      </c>
      <c r="D8" s="60" t="inlineStr">
        <is>
          <t>No início do módulo</t>
        </is>
      </c>
    </row>
    <row r="9">
      <c r="A9" s="59" t="inlineStr">
        <is>
          <t>Estágio preliminar (3 meses)</t>
        </is>
      </c>
      <c r="B9" s="60" t="inlineStr">
        <is>
          <t>3 meses</t>
        </is>
      </c>
      <c r="C9" s="60" t="inlineStr">
        <is>
          <t>Acto único, por formando</t>
        </is>
      </c>
      <c r="D9" s="60" t="inlineStr">
        <is>
          <t>Antes do início do estágio</t>
        </is>
      </c>
    </row>
    <row r="10">
      <c r="A10" s="59" t="inlineStr">
        <is>
          <t>Estágio curricular (6 meses)</t>
        </is>
      </c>
      <c r="B10" s="60" t="inlineStr">
        <is>
          <t>Segunda, quarta e sexta-feira e domingo, conforme a escala do hospital</t>
        </is>
      </c>
      <c r="C10" s="60" t="inlineStr">
        <is>
          <t>Acto único, por formando</t>
        </is>
      </c>
      <c r="D10" s="60" t="inlineStr">
        <is>
          <t>Até à primeira semana de Janeiro de 2027</t>
        </is>
      </c>
    </row>
    <row r="11">
      <c r="A11" s="59" t="inlineStr">
        <is>
          <t>Tutoria do Projecto Tecnológico</t>
        </is>
      </c>
      <c r="B11" s="60" t="inlineStr">
        <is>
          <t>10 horas por dia</t>
        </is>
      </c>
      <c r="C11" s="60" t="inlineStr">
        <is>
          <t>Pagamento único ao tutor</t>
        </is>
      </c>
      <c r="D11" s="60" t="inlineStr">
        <is>
          <t>Durante o módulo</t>
        </is>
      </c>
    </row>
    <row r="12">
      <c r="A12" s="59" t="inlineStr">
        <is>
          <t>Manuais de apoio</t>
        </is>
      </c>
      <c r="B12" s="60" t="inlineStr">
        <is>
          <t>A fixar pela escala do hospital [a confirmar]</t>
        </is>
      </c>
      <c r="C12" s="60" t="inlineStr">
        <is>
          <t>Conjunto completo</t>
        </is>
      </c>
      <c r="D12" s="60" t="inlineStr">
        <is>
          <t>Durante o módulo</t>
        </is>
      </c>
    </row>
    <row r="13">
      <c r="A13" s="59" t="inlineStr">
        <is>
          <t>Declaração para obtenção da licença de aprendizagem</t>
        </is>
      </c>
      <c r="B13" s="60" t="inlineStr">
        <is>
          <t>Edilson de Almeida (supervisão pela escola)</t>
        </is>
      </c>
      <c r="C13" s="60" t="inlineStr">
        <is>
          <t>Acto único, por formando</t>
        </is>
      </c>
      <c r="D13" s="60" t="inlineStr">
        <is>
          <t>Até 10 de Outubro de 2026</t>
        </is>
      </c>
    </row>
    <row r="14">
      <c r="A14" s="59" t="inlineStr">
        <is>
          <t>Termo de frequência</t>
        </is>
      </c>
      <c r="B14" s="60" t="inlineStr">
        <is>
          <t>Tutor do serviço a designar pelo hospital [a confirmar]</t>
        </is>
      </c>
      <c r="C14" s="60" t="inlineStr">
        <is>
          <t>Acto único, por formando</t>
        </is>
      </c>
      <c r="D14" s="60" t="inlineStr">
        <is>
          <t>Até 30 de Novembro de 2026</t>
        </is>
      </c>
    </row>
    <row r="15">
      <c r="A15" s="59" t="inlineStr">
        <is>
          <t>Declaração de frequência</t>
        </is>
      </c>
      <c r="B15" s="60" t="inlineStr">
        <is>
          <t>60 % da classificação da componente de estágio</t>
        </is>
      </c>
      <c r="C15" s="60" t="inlineStr">
        <is>
          <t>Acto único, por formando</t>
        </is>
      </c>
      <c r="D15" s="60" t="inlineStr">
        <is>
          <t>No fim do curso</t>
        </is>
      </c>
    </row>
    <row r="16">
      <c r="A16" s="59" t="inlineStr">
        <is>
          <t>Mesa de júri da defesa</t>
        </is>
      </c>
      <c r="B16" s="60" t="n">
        <v>30000</v>
      </c>
      <c r="C16" s="60" t="inlineStr">
        <is>
          <t>Acto único, por formando</t>
        </is>
      </c>
      <c r="D16" s="60" t="inlineStr">
        <is>
          <t>Antes da defesa</t>
        </is>
      </c>
    </row>
    <row r="17">
      <c r="A17" s="59" t="inlineStr">
        <is>
          <t>Sala da defesa</t>
        </is>
      </c>
      <c r="C17" s="60" t="inlineStr">
        <is>
          <t>Acto único, por formando</t>
        </is>
      </c>
      <c r="D17" s="60" t="inlineStr">
        <is>
          <t>Antes da defesa</t>
        </is>
      </c>
    </row>
    <row r="18">
      <c r="A18" s="58" t="inlineStr">
        <is>
          <t>Faixa de finalista</t>
        </is>
      </c>
      <c r="B18" s="61" t="inlineStr">
        <is>
          <t>Folha de presenças assinada pelo serviço; Relatório de estágio elaborado pelo formando; Ficha de avaliação preenchida pelo hospital</t>
        </is>
      </c>
      <c r="C18" s="60" t="inlineStr">
        <is>
          <t>Acto único, por formando</t>
        </is>
      </c>
      <c r="D18" s="60" t="inlineStr">
        <is>
          <t>Antes da defesa</t>
        </is>
      </c>
    </row>
    <row r="19">
      <c r="A19" s="58" t="inlineStr">
        <is>
          <t>Total do módulo por formando</t>
        </is>
      </c>
      <c r="C19" s="61" t="inlineStr">
        <is>
          <t>a mensalidade conta 9 vezes</t>
        </is>
      </c>
      <c r="D19" s="61" t="inlineStr">
        <is>
          <t>conferência: 375.600 Kz</t>
        </is>
      </c>
    </row>
    <row r="20">
      <c r="A20" s="58" t="inlineStr">
        <is>
          <t>Momento</t>
        </is>
      </c>
      <c r="B20" s="58" t="inlineStr">
        <is>
          <t>Data</t>
        </is>
      </c>
      <c r="C20" s="58" t="inlineStr">
        <is>
          <t>Observações</t>
        </is>
      </c>
    </row>
    <row r="21">
      <c r="A21" s="59" t="inlineStr">
        <is>
          <t>1.ª pré-defesa</t>
        </is>
      </c>
      <c r="B21" s="60" t="inlineStr">
        <is>
          <t>30/01/2027</t>
        </is>
      </c>
      <c r="C21" s="60" t="inlineStr">
        <is>
          <t>Sábado, no bloco de projecto</t>
        </is>
      </c>
    </row>
    <row r="22">
      <c r="A22" s="58" t="inlineStr">
        <is>
          <t>Encargo</t>
        </is>
      </c>
      <c r="B22" s="58" t="inlineStr">
        <is>
          <t>Valor</t>
        </is>
      </c>
      <c r="C22" s="58" t="inlineStr">
        <is>
          <t>Regime</t>
        </is>
      </c>
      <c r="D22" s="58" t="inlineStr">
        <is>
          <t>Quando se aplica</t>
        </is>
      </c>
    </row>
    <row r="23">
      <c r="A23" s="59" t="inlineStr">
        <is>
          <t>Multa por atraso no pagamento da mensalidade</t>
        </is>
      </c>
      <c r="B23" s="60" t="inlineStr">
        <is>
          <t>27/03/2027</t>
        </is>
      </c>
      <c r="C23" s="60" t="inlineStr">
        <is>
          <t>Por mensalidade em atraso</t>
        </is>
      </c>
      <c r="D23" s="60" t="inlineStr">
        <is>
          <t>A partir do dia 11</t>
        </is>
      </c>
    </row>
    <row r="24">
      <c r="A24" s="59" t="inlineStr">
        <is>
          <t>Recurso por disciplina</t>
        </is>
      </c>
      <c r="B24" s="60" t="inlineStr">
        <is>
          <t>24/04/2027</t>
        </is>
      </c>
      <c r="C24" s="60" t="inlineStr">
        <is>
          <t>Por disciplina</t>
        </is>
      </c>
      <c r="D24" s="60" t="inlineStr">
        <is>
          <t>Entre uma semana após as provas e 15 dias após a publicação das pautas</t>
        </is>
      </c>
    </row>
    <row r="25">
      <c r="A25" s="59" t="inlineStr">
        <is>
          <t>Recurso da defesa</t>
        </is>
      </c>
      <c r="B25" s="60" t="inlineStr">
        <is>
          <t>29/05/2027</t>
        </is>
      </c>
      <c r="C25" s="60" t="inlineStr">
        <is>
          <t>Acto único, por formando</t>
        </is>
      </c>
      <c r="D25" s="60" t="inlineStr">
        <is>
          <t>Quinze dias após a defesa (18/06/2027)</t>
        </is>
      </c>
    </row>
    <row r="26">
      <c r="A26" s="59" t="inlineStr">
        <is>
          <t>Entrega do trabalho</t>
        </is>
      </c>
      <c r="B26" s="60" t="inlineStr">
        <is>
          <t>03/05/2027</t>
        </is>
      </c>
      <c r="C26" s="60" t="inlineStr">
        <is>
          <t>Um mês antes da defesa</t>
        </is>
      </c>
    </row>
    <row r="27">
      <c r="A27" s="59" t="inlineStr">
        <is>
          <t>Defesa de fim de curso</t>
        </is>
      </c>
      <c r="B27" s="60" t="inlineStr">
        <is>
          <t>03/06/2027</t>
        </is>
      </c>
      <c r="C27" s="60" t="inlineStr">
        <is>
          <t>Júri presidido pela escola-mãe, composto por um presidente e três vogais</t>
        </is>
      </c>
    </row>
    <row r="28">
      <c r="A28" s="58" t="inlineStr">
        <is>
          <t>Encargo</t>
        </is>
      </c>
      <c r="B28" s="58" t="inlineStr">
        <is>
          <t>Valor</t>
        </is>
      </c>
      <c r="C28" s="58" t="inlineStr">
        <is>
          <t>Observações</t>
        </is>
      </c>
    </row>
    <row r="29">
      <c r="A29" s="59" t="inlineStr">
        <is>
          <t>Certificado de conclusão do módulo</t>
        </is>
      </c>
      <c r="B29" s="60" t="inlineStr">
        <is>
          <t>a definir</t>
        </is>
      </c>
      <c r="C29" s="60" t="inlineStr">
        <is>
          <t>Valor por definir [a confirmar]</t>
        </is>
      </c>
    </row>
    <row r="30">
      <c r="A30" s="59" t="inlineStr">
        <is>
          <t>Segunda via de documento</t>
        </is>
      </c>
      <c r="B30" s="60" t="inlineStr">
        <is>
          <t>a definir</t>
        </is>
      </c>
      <c r="C30" s="60" t="inlineStr">
        <is>
          <t>Valor por definir [a confirmar]</t>
        </is>
      </c>
    </row>
    <row r="32">
      <c r="A32" s="60" t="inlineStr">
        <is>
          <t>A confirmação de matrícula do II.º Módulo custa 10.000 Kz. A confirmação do III.º Módulo, aplicável a esta turma, custa 1.600 Kz e é o valor inscrito no quadro dos encargos do módulo.</t>
        </is>
      </c>
    </row>
    <row r="35">
      <c r="A35" s="60" t="inlineStr">
        <is>
          <t>O pagamento é efectuado exclusivamente por terminal de pagamento automático (TPA).</t>
        </is>
      </c>
    </row>
    <row r="36">
      <c r="A36" s="60" t="inlineStr">
        <is>
          <t>Não há descontos por pagamento adiantado, por irmãos nem por antiguidade.</t>
        </is>
      </c>
    </row>
    <row r="37">
      <c r="A37" s="60" t="inlineStr">
        <is>
          <t>A mensalidade vence-se até ao dia 10 de cada mês; a partir do dia 11 acresce a multa de 2.000 Kz.</t>
        </is>
      </c>
    </row>
    <row r="38">
      <c r="A38" s="60" t="inlineStr">
        <is>
          <t>O formando com mensalidades em atraso não é admitido à defesa de fim de curso.</t>
        </is>
      </c>
    </row>
    <row r="39">
      <c r="A39" s="60" t="inlineStr">
        <is>
          <t>Os documentos e as declarações só são emitidos a formandos com a situação de propinas regularizada.</t>
        </is>
      </c>
    </row>
    <row r="40">
      <c r="A40" s="60" t="inlineStr">
        <is>
          <t>Todos os encargos deste programa são devidos por formando, incluindo as taxas de mesa de júri, de sala de defesa e de faixa de finalista: num grupo de trabalho de dez elementos, cada elemento liquida a sua própria taxa.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4" customWidth="1" min="2" max="2"/>
    <col width="34" customWidth="1" min="3" max="3"/>
    <col width="34" customWidth="1" min="4" max="4"/>
  </cols>
  <sheetData>
    <row r="1">
      <c r="A1" s="1" t="inlineStr">
        <is>
          <t>Condições financeiras — turma MIDAS — NOV-A, III.º Módulo, 2026/2027 (valores em kwanzas)</t>
        </is>
      </c>
    </row>
    <row r="3">
      <c r="A3" s="62" t="inlineStr">
        <is>
          <t>Encargos do módulo</t>
        </is>
      </c>
    </row>
    <row r="5">
      <c r="B5" s="63" t="n">
        <v>1600</v>
      </c>
    </row>
    <row r="6">
      <c r="B6" s="63" t="n">
        <v>15000</v>
      </c>
    </row>
    <row r="7">
      <c r="B7" s="63" t="n">
        <v>10000</v>
      </c>
    </row>
    <row r="8">
      <c r="B8" s="63" t="n">
        <v>20000</v>
      </c>
    </row>
    <row r="9">
      <c r="B9" s="63" t="n">
        <v>30000</v>
      </c>
    </row>
    <row r="10">
      <c r="B10" s="63" t="n">
        <v>60000</v>
      </c>
    </row>
    <row r="11">
      <c r="B11" s="63" t="n">
        <v>18000</v>
      </c>
    </row>
    <row r="12">
      <c r="B12" s="63" t="n">
        <v>10000</v>
      </c>
    </row>
    <row r="13">
      <c r="B13" s="63" t="n">
        <v>10000</v>
      </c>
    </row>
    <row r="14">
      <c r="B14" s="63" t="n">
        <v>40000</v>
      </c>
    </row>
    <row r="15">
      <c r="B15" s="63" t="n">
        <v>8000</v>
      </c>
    </row>
    <row r="16">
      <c r="B16" s="63" t="n">
        <v>20000</v>
      </c>
    </row>
    <row r="17">
      <c r="B17" s="63" t="n">
        <v>10000</v>
      </c>
    </row>
    <row r="18">
      <c r="B18" s="63" t="n">
        <v>3000</v>
      </c>
    </row>
    <row r="19">
      <c r="B19" s="64">
        <f>SUM(B5:B18)+B6*8</f>
        <v/>
      </c>
    </row>
    <row r="21">
      <c r="A21" s="62" t="inlineStr">
        <is>
          <t>Encargos eventuais</t>
        </is>
      </c>
    </row>
    <row r="23">
      <c r="B23" s="63" t="n">
        <v>2000</v>
      </c>
    </row>
    <row r="24">
      <c r="B24" s="63" t="n">
        <v>5000</v>
      </c>
    </row>
    <row r="25">
      <c r="B25" s="63" t="n">
        <v>30000</v>
      </c>
    </row>
    <row r="27">
      <c r="A27" s="62" t="inlineStr">
        <is>
          <t>Valores por definir</t>
        </is>
      </c>
    </row>
    <row r="32"/>
    <row r="34">
      <c r="A34" s="62" t="inlineStr">
        <is>
          <t>Regras de pagamento</t>
        </is>
      </c>
    </row>
    <row r="35"/>
    <row r="36"/>
    <row r="37"/>
    <row r="38"/>
    <row r="39"/>
    <row r="40"/>
  </sheetData>
  <mergeCells count="12">
    <mergeCell ref="A1:D1"/>
    <mergeCell ref="A37:D37"/>
    <mergeCell ref="A40:D40"/>
    <mergeCell ref="A27:D27"/>
    <mergeCell ref="A34:D34"/>
    <mergeCell ref="A35:D35"/>
    <mergeCell ref="A3:D3"/>
    <mergeCell ref="A21:D21"/>
    <mergeCell ref="A38:D38"/>
    <mergeCell ref="A39:D39"/>
    <mergeCell ref="A32:D32"/>
    <mergeCell ref="A36:D3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2026-09-10T11:31:07Z</dcterms:created>
  <dcterms:modified xmlns:dcterms="http://purl.org/dc/terms/" xmlns:xsi="http://www.w3.org/2001/XMLSchema-instance" xsi:type="dcterms:W3CDTF">2026-09-10T11:31:07Z</dcterms:modified>
</cp:coreProperties>
</file>